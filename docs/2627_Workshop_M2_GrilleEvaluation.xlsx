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" sheetId="1" r:id="rId4"/>
    <sheet state="visible" name="Grille Evaluation M2" sheetId="2" r:id="rId5"/>
  </sheets>
  <definedNames/>
  <calcPr/>
  <extLst>
    <ext uri="GoogleSheetsCustomDataVersion2">
      <go:sheetsCustomData xmlns:go="http://customooxmlschemas.google.com/" r:id="rId6" roundtripDataChecksum="kjoVBmUTNh9ZMyJBYRWOVB4uNXSJavGqcFV68I5hMb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H2">
      <text>
        <t xml:space="preserve">======
ID#AAACI6JrtWg
COMBLEZ Julien     (2026-10-19 07:42:09)
EBIOS RM et PCA/PRA reliés à l’architecture et aux essais réels, pas de rapport générique. Distinction entre les exigences NIS2/DORA pertinentes et celles que le prototype ne peut pas démontrer. Recommandations argumentées à une direction. Pitch clair, prise de parole équilibrée, 5 min respectées.</t>
      </text>
    </comment>
    <comment authorId="0" ref="R2">
      <text>
        <t xml:space="preserve">======
ID#AAACI6JrtWU
BAEZA Yvan    (2026-10-19 07:42:09)
Prise d’initiative et de responsabilités dans le consortium, ponctualité, investissement constant. Tenir compte des présences hebdomadaires.</t>
      </text>
    </comment>
    <comment authorId="0" ref="AI2">
      <text>
        <t xml:space="preserve">======
ID#AAACI6JrtWI
COMBLEZ Julien    (2026-10-19 07:42:09)
Dossier précis (8 à 12 pages à titre indicatif) avec la contribution de chacun visible. Archive Git structurée, README de déploiement, aucun secret en clair, nommage Workshop2026-M2-G&lt;n&gt; respecté. Réponses précises, maîtrise du code, y compris celui généré par IA.</t>
      </text>
    </comment>
    <comment authorId="0" ref="S2">
      <text>
        <t xml:space="preserve">======
ID#AAACI6JrtWA
BAEZA Yvan    (2026-10-19 07:42:09)
Qualité de la contribution dans le ou les piliers assumés (DEV, INFRA, IA/DATA, CYBER, TRANSFORMATION). Évaluer la contribution effective, pas l’intitulé de la formation.</t>
      </text>
    </comment>
    <comment authorId="0" ref="T2">
      <text>
        <t xml:space="preserve">======
ID#AAACI6JrtWE
BAEZA Yvan    (2026-10-19 07:42:09)
Capacité à diagnostiquer une panne (conteneur, réseau, modèle, intégration) et à corriger la cause plutôt que contourner. Adaptation aux arbitrages de périmètre.</t>
      </text>
    </comment>
    <comment authorId="0" ref="U2">
      <text>
        <t xml:space="preserve">======
ID#AAACI6JrtV8
BAEZA Yvan     (2026-10-19 07:42:09)
Travail aux interfaces entre piliers (API, métriques, alertes, PRA), capacité à expliquer son travail aux non-spécialistes et à intégrer celui des autres.</t>
      </text>
    </comment>
    <comment authorId="0" ref="V2">
      <text>
        <t xml:space="preserve">======
ID#AAACI6JrtWc
BAEZA Yvan    (2026-10-19 07:42:09)
Commits réguliers et lisibles, configuration documentée, aucun secret en clair, suivi du Kanban, respect du matériel et du périmètre d’attaque autorisé</t>
      </text>
    </comment>
    <comment authorId="0" ref="AE2">
      <text>
        <t xml:space="preserve">======
ID#AAACI6JrtWM
COMBLEZ Julien     (2026-10-19 07:42:09)
Attaque lancée depuis le PC Attaquant, avec un effet observable. Détection et remédiation sans intervention corrective humaine. Service vérifié après la reprise : une nouvelle transaction fictive réussit (un conteneur redémarré ne suffit pas). Intervention manuelle pendant le live = ND (0/5).</t>
      </text>
    </comment>
    <comment authorId="0" ref="AF2">
      <text>
        <t xml:space="preserve">======
ID#AAACI6JrtWQ
COMBLEZ Julien     (2026-10-19 07:42:09)
Les 5 piliers présents et réellement interconnectés. ML justifié (données, modèle, limites) et branché sur la remédiation. WAF, SIEM/SOC, secrets Vault/SOPS, droits du moteur de remédiation maîtrisés. Déploiement reproductible (Compose + Ansible). Assistant RAG local fonctionnel.</t>
      </text>
    </comment>
    <comment authorId="0" ref="AG2">
      <text>
        <t xml:space="preserve">======
ID#AAACI6JrtWY
COMBLEZ Julien     (2026-10-19 07:42:09)
Clip de 60 s maximum, en séquence continue sans coupe : attaque, anomalie, réaction, service vérifié. Dashboard lisible : composants, alertes, avancement de la reprise, état avant, pendant et après l’incident.</t>
      </text>
    </comment>
  </commentList>
  <extLst>
    <ext uri="GoogleSheetsCustomDataVersion2">
      <go:sheetsCustomData xmlns:go="http://customooxmlschemas.google.com/" r:id="rId1" roundtripDataSignature="AMtx7mhuB4N4LZzdwfn34imyJh8uDR+tSA=="/>
    </ext>
  </extLst>
</comments>
</file>

<file path=xl/sharedStrings.xml><?xml version="1.0" encoding="utf-8"?>
<sst xmlns="http://schemas.openxmlformats.org/spreadsheetml/2006/main" count="67" uniqueCount="53">
  <si>
    <t>BaremeNDa3</t>
  </si>
  <si>
    <t>Présence</t>
  </si>
  <si>
    <t>Choix</t>
  </si>
  <si>
    <t>ND</t>
  </si>
  <si>
    <t>Présent</t>
  </si>
  <si>
    <t>Oui</t>
  </si>
  <si>
    <t>Absent</t>
  </si>
  <si>
    <t>Non</t>
  </si>
  <si>
    <t>Abs. Justifiée</t>
  </si>
  <si>
    <t>Présences Hebdomadaires du lundi au vendredi (Individuel)</t>
  </si>
  <si>
    <t>1° Suivi de Réalisation Hebdomadaire du lundi au jeudi, Evaluation Individuelle (coef.1)</t>
  </si>
  <si>
    <t>2° Soutenance et Démonstration, Evaluation de Groupe du Vendredi (coef.2)</t>
  </si>
  <si>
    <t>Actif</t>
  </si>
  <si>
    <t>Nom</t>
  </si>
  <si>
    <t>Prénom</t>
  </si>
  <si>
    <t>Email</t>
  </si>
  <si>
    <t>Classe</t>
  </si>
  <si>
    <t>Groupe</t>
  </si>
  <si>
    <t xml:space="preserve">Lundi </t>
  </si>
  <si>
    <t>Mardi</t>
  </si>
  <si>
    <t>Mercredi</t>
  </si>
  <si>
    <t>Jeudi</t>
  </si>
  <si>
    <t>Vendredi</t>
  </si>
  <si>
    <t>Engagement, Assiduité &amp; Posture</t>
  </si>
  <si>
    <t>Expertise technique</t>
  </si>
  <si>
    <t>Agilité &amp; Autonomie</t>
  </si>
  <si>
    <t>Collaboration Transversale</t>
  </si>
  <si>
    <t>Rigueur d'ingénierie &amp; Organisation</t>
  </si>
  <si>
    <t>Total Individuel</t>
  </si>
  <si>
    <t>Remarque Individuelle</t>
  </si>
  <si>
    <t>Axe 1 : 
Démo live &amp; remédiation autonome</t>
  </si>
  <si>
    <t>Axe 2 : 
Expertise technique &amp; cohérence des 5 piliers</t>
  </si>
  <si>
    <t>Axe 3
Clip Chrono &amp; dashboard</t>
  </si>
  <si>
    <t>Axe 4
Gouvernance, NIS2/DORA &amp; pitch</t>
  </si>
  <si>
    <t>Axe 5
Dossier technique &amp; Q&amp;A</t>
  </si>
  <si>
    <t>Total Groupe</t>
  </si>
  <si>
    <t>Remarque Groupe</t>
  </si>
  <si>
    <t>Total Workshop</t>
  </si>
  <si>
    <t>Workshop Validé</t>
  </si>
  <si>
    <t>PACO Recommandé</t>
  </si>
  <si>
    <t>Jury 1</t>
  </si>
  <si>
    <t>Jury 2</t>
  </si>
  <si>
    <t>AM</t>
  </si>
  <si>
    <t>PM</t>
  </si>
  <si>
    <t>/20</t>
  </si>
  <si>
    <t>x</t>
  </si>
  <si>
    <t>DUPONT</t>
  </si>
  <si>
    <t>Michel</t>
  </si>
  <si>
    <t>dupont.michel@ecoles-epsi.fr</t>
  </si>
  <si>
    <t>M2-C1</t>
  </si>
  <si>
    <t>DURAND</t>
  </si>
  <si>
    <t>Claude</t>
  </si>
  <si>
    <t>durant.claude2@ecoles-epsi.fr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</si>
</sst>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Aptos Narrow"/>
      <scheme val="minor"/>
    </font>
    <font>
      <b/>
      <sz val="11.0"/>
      <color theme="1"/>
      <name val="Aptos Narrow"/>
    </font>
    <font>
      <color theme="1"/>
      <name val="Aptos Narrow"/>
      <scheme val="minor"/>
    </font>
    <font>
      <sz val="11.0"/>
      <color theme="1"/>
      <name val="Aptos Narrow"/>
    </font>
    <font>
      <b/>
      <sz val="11.0"/>
      <color rgb="FFFA7D00"/>
      <name val="Aptos Narrow"/>
    </font>
    <font/>
    <font>
      <b/>
      <sz val="11.0"/>
      <color rgb="FF006100"/>
      <name val="Aptos Narrow"/>
    </font>
    <font>
      <b/>
      <sz val="11.0"/>
      <color theme="4"/>
      <name val="Aptos Narrow"/>
    </font>
    <font>
      <i/>
      <sz val="11.0"/>
      <color theme="1"/>
      <name val="Aptos Narrow"/>
    </font>
    <font>
      <u/>
      <sz val="11.0"/>
      <color theme="10"/>
      <name val="Aptos Narrow"/>
    </font>
    <font>
      <sz val="11.0"/>
      <color theme="1"/>
      <name val="Arial"/>
    </font>
    <font>
      <u/>
      <sz val="11.0"/>
      <color theme="10"/>
      <name val="Aptos Narrow"/>
    </font>
    <font>
      <u/>
      <sz val="11.0"/>
      <color theme="10"/>
      <name val="Aptos Narrow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DBE9F7"/>
        <bgColor rgb="FFDBE9F7"/>
      </patternFill>
    </fill>
    <fill>
      <patternFill patternType="solid">
        <fgColor rgb="FFD9F2D0"/>
        <bgColor rgb="FFD9F2D0"/>
      </patternFill>
    </fill>
    <fill>
      <patternFill patternType="solid">
        <fgColor rgb="FFE8E8E8"/>
        <bgColor rgb="FFE8E8E8"/>
      </patternFill>
    </fill>
    <fill>
      <patternFill patternType="solid">
        <fgColor rgb="FFFFFF00"/>
        <bgColor rgb="FFFFFF00"/>
      </patternFill>
    </fill>
  </fills>
  <borders count="41">
    <border/>
    <border>
      <left/>
      <top/>
      <bottom/>
    </border>
    <border>
      <top/>
      <bottom/>
    </border>
    <border>
      <right/>
      <top/>
      <bottom/>
    </border>
    <border>
      <bottom style="medium">
        <color rgb="FF000000"/>
      </bottom>
    </border>
    <border>
      <left style="thin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top style="medium">
        <color rgb="FF000000"/>
      </top>
      <bottom style="dotted">
        <color rgb="FF000000"/>
      </bottom>
    </border>
    <border>
      <top style="medium">
        <color rgb="FF000000"/>
      </top>
      <bottom style="dotted">
        <color rgb="FF000000"/>
      </bottom>
    </border>
    <border>
      <right style="dotted">
        <color rgb="FF000000"/>
      </right>
      <top style="medium">
        <color rgb="FF000000"/>
      </top>
      <bottom style="dotted">
        <color rgb="FF000000"/>
      </bottom>
    </border>
    <border>
      <top style="medium">
        <color rgb="FF000000"/>
      </top>
    </border>
    <border>
      <left style="dotted">
        <color rgb="FF000000"/>
      </left>
      <right style="dotted">
        <color rgb="FF000000"/>
      </right>
      <top style="medium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/>
      <bottom style="dotted">
        <color rgb="FF000000"/>
      </bottom>
    </border>
    <border>
      <left/>
      <right/>
      <top/>
      <bottom/>
    </border>
    <border>
      <left/>
      <right/>
      <top style="medium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medium">
        <color rgb="FF000000"/>
      </top>
    </border>
    <border>
      <left style="dotted">
        <color rgb="FF000000"/>
      </left>
      <top style="medium">
        <color rgb="FF000000"/>
      </top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/>
      <right/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</border>
    <border>
      <left style="dotted">
        <color rgb="FF000000"/>
      </left>
    </border>
    <border>
      <left style="thin">
        <color rgb="FF000000"/>
      </left>
      <right style="dotted">
        <color rgb="FF000000"/>
      </right>
      <top style="dotted">
        <color rgb="FF000000"/>
      </top>
      <bottom style="medium">
        <color rgb="FF000000"/>
      </bottom>
    </border>
    <border>
      <left style="dotted">
        <color rgb="FF000000"/>
      </left>
      <top style="dotted">
        <color rgb="FF000000"/>
      </top>
      <bottom style="medium">
        <color rgb="FF000000"/>
      </bottom>
    </border>
    <border>
      <top style="dotted">
        <color rgb="FF000000"/>
      </top>
      <bottom style="medium">
        <color rgb="FF000000"/>
      </bottom>
    </border>
    <border>
      <right style="dotted">
        <color rgb="FF000000"/>
      </right>
      <top style="dotted">
        <color rgb="FF000000"/>
      </top>
      <bottom style="medium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/>
      <top style="dotted">
        <color rgb="FF000000"/>
      </top>
      <bottom style="medium">
        <color rgb="FF000000"/>
      </bottom>
    </border>
    <border>
      <left style="dotted">
        <color rgb="FF000000"/>
      </left>
      <right style="dotted">
        <color rgb="FF000000"/>
      </right>
      <bottom/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right style="dotted">
        <color rgb="FF000000"/>
      </right>
      <top style="dotted">
        <color rgb="FF000000"/>
      </top>
      <bottom/>
    </border>
    <border>
      <left style="dotted">
        <color rgb="FF000000"/>
      </left>
      <bottom style="medium">
        <color rgb="FF000000"/>
      </bottom>
    </border>
    <border>
      <left style="dotted">
        <color rgb="FF000000"/>
      </left>
      <bottom style="dotted">
        <color rgb="FF000000"/>
      </bottom>
    </border>
    <border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left/>
      <right/>
      <top/>
      <bottom style="dotted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right style="dotted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/>
    </xf>
    <xf borderId="1" fillId="2" fontId="4" numFmtId="0" xfId="0" applyAlignment="1" applyBorder="1" applyFill="1" applyFont="1">
      <alignment horizontal="center"/>
    </xf>
    <xf borderId="2" fillId="0" fontId="5" numFmtId="0" xfId="0" applyBorder="1" applyFont="1"/>
    <xf borderId="3" fillId="0" fontId="5" numFmtId="0" xfId="0" applyBorder="1" applyFont="1"/>
    <xf borderId="1" fillId="3" fontId="6" numFmtId="0" xfId="0" applyAlignment="1" applyBorder="1" applyFill="1" applyFont="1">
      <alignment horizontal="center"/>
    </xf>
    <xf borderId="1" fillId="4" fontId="7" numFmtId="0" xfId="0" applyAlignment="1" applyBorder="1" applyFill="1" applyFont="1">
      <alignment horizontal="center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right" shrinkToFit="0" wrapText="1"/>
    </xf>
    <xf borderId="4" fillId="0" fontId="3" numFmtId="0" xfId="0" applyBorder="1" applyFont="1"/>
    <xf borderId="4" fillId="0" fontId="3" numFmtId="0" xfId="0" applyAlignment="1" applyBorder="1" applyFont="1">
      <alignment horizontal="center"/>
    </xf>
    <xf borderId="4" fillId="0" fontId="8" numFmtId="0" xfId="0" applyAlignment="1" applyBorder="1" applyFont="1">
      <alignment horizontal="center"/>
    </xf>
    <xf borderId="4" fillId="0" fontId="3" numFmtId="49" xfId="0" applyAlignment="1" applyBorder="1" applyFont="1" applyNumberFormat="1">
      <alignment horizontal="right"/>
    </xf>
    <xf borderId="4" fillId="0" fontId="3" numFmtId="49" xfId="0" applyAlignment="1" applyBorder="1" applyFont="1" applyNumberFormat="1">
      <alignment horizontal="right" shrinkToFit="0" wrapText="1"/>
    </xf>
    <xf borderId="4" fillId="0" fontId="1" numFmtId="49" xfId="0" applyAlignment="1" applyBorder="1" applyFont="1" applyNumberFormat="1">
      <alignment horizontal="right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7" fillId="0" fontId="9" numFmtId="0" xfId="0" applyBorder="1" applyFont="1"/>
    <xf borderId="8" fillId="0" fontId="3" numFmtId="0" xfId="0" applyBorder="1" applyFont="1"/>
    <xf borderId="9" fillId="0" fontId="3" numFmtId="0" xfId="0" applyAlignment="1" applyBorder="1" applyFont="1">
      <alignment horizontal="center" vertical="top"/>
    </xf>
    <xf borderId="10" fillId="2" fontId="3" numFmtId="0" xfId="0" applyAlignment="1" applyBorder="1" applyFill="1" applyFont="1">
      <alignment horizontal="center"/>
    </xf>
    <xf borderId="11" fillId="5" fontId="3" numFmtId="0" xfId="0" applyAlignment="1" applyBorder="1" applyFill="1" applyFont="1">
      <alignment horizontal="center"/>
    </xf>
    <xf borderId="0" fillId="0" fontId="3" numFmtId="2" xfId="0" applyAlignment="1" applyFont="1" applyNumberFormat="1">
      <alignment horizontal="center"/>
    </xf>
    <xf borderId="12" fillId="6" fontId="1" numFmtId="2" xfId="0" applyBorder="1" applyFill="1" applyFont="1" applyNumberFormat="1"/>
    <xf borderId="13" fillId="5" fontId="3" numFmtId="2" xfId="0" applyAlignment="1" applyBorder="1" applyFill="1" applyFont="1" applyNumberFormat="1">
      <alignment horizontal="left" shrinkToFit="0" vertical="top" wrapText="1"/>
    </xf>
    <xf borderId="14" fillId="4" fontId="3" numFmtId="0" xfId="0" applyAlignment="1" applyBorder="1" applyFill="1" applyFont="1">
      <alignment horizontal="center" vertical="top"/>
    </xf>
    <xf borderId="10" fillId="0" fontId="3" numFmtId="2" xfId="0" applyAlignment="1" applyBorder="1" applyFont="1" applyNumberFormat="1">
      <alignment horizontal="center" vertical="top"/>
    </xf>
    <xf borderId="10" fillId="6" fontId="1" numFmtId="2" xfId="0" applyAlignment="1" applyBorder="1" applyFill="1" applyFont="1" applyNumberFormat="1">
      <alignment horizontal="right" vertical="top"/>
    </xf>
    <xf borderId="10" fillId="4" fontId="3" numFmtId="2" xfId="0" applyAlignment="1" applyBorder="1" applyFill="1" applyFont="1" applyNumberFormat="1">
      <alignment horizontal="left" shrinkToFit="0" vertical="top" wrapText="1"/>
    </xf>
    <xf borderId="12" fillId="7" fontId="1" numFmtId="2" xfId="0" applyBorder="1" applyFill="1" applyFont="1" applyNumberFormat="1"/>
    <xf borderId="10" fillId="0" fontId="3" numFmtId="0" xfId="0" applyBorder="1" applyFont="1"/>
    <xf borderId="15" fillId="0" fontId="3" numFmtId="0" xfId="0" applyAlignment="1" applyBorder="1" applyFont="1">
      <alignment horizontal="center" vertical="center"/>
    </xf>
    <xf borderId="9" fillId="0" fontId="3" numFmtId="0" xfId="0" applyAlignment="1" applyBorder="1" applyFont="1">
      <alignment horizontal="center" vertical="center"/>
    </xf>
    <xf borderId="16" fillId="0" fontId="3" numFmtId="0" xfId="0" applyBorder="1" applyFont="1"/>
    <xf borderId="17" fillId="0" fontId="10" numFmtId="0" xfId="0" applyAlignment="1" applyBorder="1" applyFont="1">
      <alignment readingOrder="0"/>
    </xf>
    <xf borderId="18" fillId="0" fontId="3" numFmtId="0" xfId="0" applyBorder="1" applyFont="1"/>
    <xf borderId="18" fillId="0" fontId="11" numFmtId="0" xfId="0" applyBorder="1" applyFont="1"/>
    <xf borderId="19" fillId="0" fontId="3" numFmtId="0" xfId="0" applyBorder="1" applyFont="1"/>
    <xf borderId="0" fillId="0" fontId="3" numFmtId="0" xfId="0" applyAlignment="1" applyFont="1">
      <alignment horizontal="center" vertical="top"/>
    </xf>
    <xf borderId="20" fillId="2" fontId="3" numFmtId="0" xfId="0" applyAlignment="1" applyBorder="1" applyFill="1" applyFont="1">
      <alignment horizontal="center"/>
    </xf>
    <xf borderId="20" fillId="5" fontId="3" numFmtId="0" xfId="0" applyAlignment="1" applyBorder="1" applyFill="1" applyFont="1">
      <alignment horizontal="center"/>
    </xf>
    <xf borderId="21" fillId="5" fontId="3" numFmtId="2" xfId="0" applyAlignment="1" applyBorder="1" applyFill="1" applyFont="1" applyNumberFormat="1">
      <alignment horizontal="left" shrinkToFit="0" vertical="top" wrapText="1"/>
    </xf>
    <xf borderId="22" fillId="0" fontId="5" numFmtId="0" xfId="0" applyBorder="1" applyFont="1"/>
    <xf borderId="20" fillId="0" fontId="3" numFmtId="2" xfId="0" applyAlignment="1" applyBorder="1" applyFont="1" applyNumberFormat="1">
      <alignment horizontal="center" vertical="top"/>
    </xf>
    <xf borderId="20" fillId="6" fontId="1" numFmtId="2" xfId="0" applyAlignment="1" applyBorder="1" applyFill="1" applyFont="1" applyNumberFormat="1">
      <alignment horizontal="right" vertical="top"/>
    </xf>
    <xf borderId="20" fillId="4" fontId="3" numFmtId="2" xfId="0" applyAlignment="1" applyBorder="1" applyFill="1" applyFont="1" applyNumberFormat="1">
      <alignment horizontal="left" shrinkToFit="0" vertical="top" wrapText="1"/>
    </xf>
    <xf borderId="20" fillId="0" fontId="3" numFmtId="0" xfId="0" applyBorder="1" applyFont="1"/>
    <xf borderId="23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17" fillId="0" fontId="3" numFmtId="0" xfId="0" applyBorder="1" applyFont="1"/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4" fillId="0" fontId="3" numFmtId="0" xfId="0" applyAlignment="1" applyBorder="1" applyFont="1">
      <alignment horizontal="center" vertical="top"/>
    </xf>
    <xf borderId="28" fillId="2" fontId="3" numFmtId="0" xfId="0" applyAlignment="1" applyBorder="1" applyFill="1" applyFont="1">
      <alignment horizontal="center"/>
    </xf>
    <xf borderId="28" fillId="5" fontId="3" numFmtId="0" xfId="0" applyAlignment="1" applyBorder="1" applyFill="1" applyFont="1">
      <alignment horizontal="center"/>
    </xf>
    <xf borderId="4" fillId="0" fontId="3" numFmtId="2" xfId="0" applyAlignment="1" applyBorder="1" applyFont="1" applyNumberFormat="1">
      <alignment horizontal="center"/>
    </xf>
    <xf borderId="29" fillId="6" fontId="1" numFmtId="2" xfId="0" applyBorder="1" applyFill="1" applyFont="1" applyNumberFormat="1"/>
    <xf borderId="30" fillId="5" fontId="3" numFmtId="2" xfId="0" applyAlignment="1" applyBorder="1" applyFill="1" applyFont="1" applyNumberFormat="1">
      <alignment horizontal="left" shrinkToFit="0" vertical="top" wrapText="1"/>
    </xf>
    <xf borderId="31" fillId="0" fontId="5" numFmtId="0" xfId="0" applyBorder="1" applyFont="1"/>
    <xf borderId="32" fillId="0" fontId="3" numFmtId="2" xfId="0" applyAlignment="1" applyBorder="1" applyFont="1" applyNumberFormat="1">
      <alignment horizontal="center" vertical="top"/>
    </xf>
    <xf borderId="33" fillId="6" fontId="1" numFmtId="2" xfId="0" applyAlignment="1" applyBorder="1" applyFill="1" applyFont="1" applyNumberFormat="1">
      <alignment horizontal="right" vertical="top"/>
    </xf>
    <xf borderId="33" fillId="4" fontId="3" numFmtId="2" xfId="0" applyAlignment="1" applyBorder="1" applyFill="1" applyFont="1" applyNumberFormat="1">
      <alignment horizontal="left" shrinkToFit="0" vertical="top" wrapText="1"/>
    </xf>
    <xf borderId="29" fillId="7" fontId="1" numFmtId="2" xfId="0" applyBorder="1" applyFill="1" applyFont="1" applyNumberFormat="1"/>
    <xf borderId="28" fillId="0" fontId="3" numFmtId="0" xfId="0" applyBorder="1" applyFont="1"/>
    <xf borderId="34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35" fillId="0" fontId="3" numFmtId="0" xfId="0" applyBorder="1" applyFont="1"/>
    <xf borderId="36" fillId="0" fontId="3" numFmtId="0" xfId="0" applyBorder="1" applyFont="1"/>
    <xf borderId="36" fillId="0" fontId="12" numFmtId="0" xfId="0" applyBorder="1" applyFont="1"/>
    <xf borderId="37" fillId="0" fontId="3" numFmtId="0" xfId="0" applyBorder="1" applyFont="1"/>
    <xf borderId="11" fillId="2" fontId="3" numFmtId="0" xfId="0" applyAlignment="1" applyBorder="1" applyFill="1" applyFont="1">
      <alignment horizontal="center"/>
    </xf>
    <xf borderId="38" fillId="5" fontId="3" numFmtId="2" xfId="0" applyAlignment="1" applyBorder="1" applyFill="1" applyFont="1" applyNumberFormat="1">
      <alignment horizontal="left" shrinkToFit="0" vertical="top" wrapText="1"/>
    </xf>
    <xf borderId="39" fillId="0" fontId="3" numFmtId="0" xfId="0" applyBorder="1" applyFont="1"/>
    <xf borderId="40" fillId="0" fontId="5" numFmtId="0" xfId="0" applyBorder="1" applyFont="1"/>
    <xf borderId="28" fillId="0" fontId="3" numFmtId="2" xfId="0" applyAlignment="1" applyBorder="1" applyFont="1" applyNumberFormat="1">
      <alignment horizontal="center" vertical="top"/>
    </xf>
    <xf borderId="28" fillId="6" fontId="1" numFmtId="2" xfId="0" applyAlignment="1" applyBorder="1" applyFill="1" applyFont="1" applyNumberFormat="1">
      <alignment horizontal="right" vertical="top"/>
    </xf>
    <xf borderId="28" fillId="4" fontId="3" numFmtId="2" xfId="0" applyAlignment="1" applyBorder="1" applyFill="1" applyFont="1" applyNumberFormat="1">
      <alignment horizontal="left" shrinkToFit="0" vertical="top" wrapText="1"/>
    </xf>
  </cellXfs>
  <cellStyles count="1">
    <cellStyle xfId="0" name="Normal" builtinId="0"/>
  </cellStyles>
  <dxfs count="2">
    <dxf>
      <font/>
      <fill>
        <patternFill patternType="solid">
          <fgColor rgb="FFFAE2D5"/>
          <bgColor rgb="FFFAE2D5"/>
        </patternFill>
      </fill>
      <border/>
    </dxf>
    <dxf>
      <font/>
      <fill>
        <patternFill patternType="solid">
          <fgColor rgb="FFD9F2D0"/>
          <bgColor rgb="FFD9F2D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mailto:dupont.michel@ecoles-epsi.fr" TargetMode="External"/><Relationship Id="rId3" Type="http://schemas.openxmlformats.org/officeDocument/2006/relationships/hyperlink" Target="mailto:durant.claude2@ecoles-epsi.fr" TargetMode="Externa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1.38"/>
  </cols>
  <sheetData>
    <row r="2">
      <c r="A2" s="1" t="s">
        <v>0</v>
      </c>
      <c r="E2" s="1" t="s">
        <v>1</v>
      </c>
      <c r="G2" s="1" t="s">
        <v>2</v>
      </c>
    </row>
    <row r="3">
      <c r="A3" s="2" t="s">
        <v>3</v>
      </c>
      <c r="E3" s="2" t="s">
        <v>4</v>
      </c>
      <c r="G3" s="2" t="s">
        <v>5</v>
      </c>
    </row>
    <row r="4">
      <c r="A4" s="2">
        <v>1.0</v>
      </c>
      <c r="E4" s="2" t="s">
        <v>6</v>
      </c>
      <c r="G4" s="2" t="s">
        <v>7</v>
      </c>
    </row>
    <row r="5">
      <c r="A5" s="2">
        <v>2.0</v>
      </c>
      <c r="E5" s="2" t="s">
        <v>8</v>
      </c>
    </row>
    <row r="6">
      <c r="A6" s="2">
        <v>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2.63" defaultRowHeight="15.0"/>
  <cols>
    <col customWidth="1" min="1" max="1" width="4.88"/>
    <col customWidth="1" min="2" max="2" width="21.75"/>
    <col customWidth="1" min="3" max="3" width="22.13"/>
    <col customWidth="1" min="4" max="4" width="32.0"/>
    <col customWidth="1" min="5" max="5" width="11.38"/>
    <col customWidth="1" min="6" max="16" width="10.88"/>
    <col customWidth="1" min="17" max="17" width="3.63"/>
    <col customWidth="1" min="18" max="20" width="10.88"/>
    <col customWidth="1" min="21" max="21" width="11.75"/>
    <col customWidth="1" min="22" max="22" width="12.63"/>
    <col customWidth="1" hidden="1" min="23" max="27" width="5.63"/>
    <col customWidth="1" min="28" max="28" width="12.88"/>
    <col customWidth="1" min="29" max="29" width="38.13"/>
    <col customWidth="1" min="30" max="30" width="3.38"/>
    <col customWidth="1" min="31" max="31" width="11.63"/>
    <col customWidth="1" min="32" max="32" width="10.88"/>
    <col customWidth="1" min="33" max="33" width="15.75"/>
    <col customWidth="1" min="34" max="34" width="10.88"/>
    <col customWidth="1" min="35" max="35" width="12.38"/>
    <col customWidth="1" min="36" max="40" width="4.88"/>
    <col customWidth="1" min="41" max="41" width="13.38"/>
    <col customWidth="1" min="42" max="42" width="38.13"/>
    <col customWidth="1" min="43" max="43" width="13.25"/>
    <col customWidth="1" min="44" max="44" width="11.88"/>
    <col customWidth="1" min="45" max="45" width="12.88"/>
    <col customWidth="1" min="46" max="47" width="11.38"/>
  </cols>
  <sheetData>
    <row r="1">
      <c r="F1" s="3"/>
      <c r="G1" s="4" t="s">
        <v>9</v>
      </c>
      <c r="H1" s="5"/>
      <c r="I1" s="5"/>
      <c r="J1" s="5"/>
      <c r="K1" s="5"/>
      <c r="L1" s="5"/>
      <c r="M1" s="5"/>
      <c r="N1" s="5"/>
      <c r="O1" s="5"/>
      <c r="P1" s="6"/>
      <c r="R1" s="7" t="s">
        <v>10</v>
      </c>
      <c r="S1" s="5"/>
      <c r="T1" s="5"/>
      <c r="U1" s="5"/>
      <c r="V1" s="5"/>
      <c r="W1" s="5"/>
      <c r="X1" s="5"/>
      <c r="Y1" s="5"/>
      <c r="Z1" s="5"/>
      <c r="AA1" s="5"/>
      <c r="AB1" s="5"/>
      <c r="AC1" s="6"/>
      <c r="AE1" s="8" t="s">
        <v>11</v>
      </c>
      <c r="AF1" s="5"/>
      <c r="AG1" s="5"/>
      <c r="AH1" s="5"/>
      <c r="AI1" s="5"/>
      <c r="AJ1" s="5"/>
      <c r="AK1" s="5"/>
      <c r="AL1" s="5"/>
      <c r="AM1" s="5"/>
      <c r="AN1" s="5"/>
      <c r="AO1" s="5"/>
      <c r="AP1" s="6"/>
    </row>
    <row r="2">
      <c r="A2" s="9" t="s">
        <v>12</v>
      </c>
      <c r="B2" s="9" t="s">
        <v>13</v>
      </c>
      <c r="C2" s="9" t="s">
        <v>14</v>
      </c>
      <c r="D2" s="9" t="s">
        <v>15</v>
      </c>
      <c r="E2" s="9" t="s">
        <v>16</v>
      </c>
      <c r="F2" s="10" t="s">
        <v>17</v>
      </c>
      <c r="G2" s="10" t="s">
        <v>18</v>
      </c>
      <c r="I2" s="10" t="s">
        <v>19</v>
      </c>
      <c r="K2" s="10" t="s">
        <v>20</v>
      </c>
      <c r="M2" s="10" t="s">
        <v>21</v>
      </c>
      <c r="O2" s="10" t="s">
        <v>22</v>
      </c>
      <c r="Q2" s="9"/>
      <c r="R2" s="11" t="s">
        <v>23</v>
      </c>
      <c r="S2" s="11" t="s">
        <v>24</v>
      </c>
      <c r="T2" s="11" t="s">
        <v>25</v>
      </c>
      <c r="U2" s="11" t="s">
        <v>26</v>
      </c>
      <c r="V2" s="11" t="s">
        <v>27</v>
      </c>
      <c r="W2" s="10"/>
      <c r="X2" s="10"/>
      <c r="Y2" s="10"/>
      <c r="Z2" s="10"/>
      <c r="AA2" s="10"/>
      <c r="AB2" s="9" t="s">
        <v>28</v>
      </c>
      <c r="AC2" s="9" t="s">
        <v>29</v>
      </c>
      <c r="AD2" s="9"/>
      <c r="AE2" s="10" t="s">
        <v>30</v>
      </c>
      <c r="AF2" s="10" t="s">
        <v>31</v>
      </c>
      <c r="AG2" s="10" t="s">
        <v>32</v>
      </c>
      <c r="AH2" s="10" t="s">
        <v>33</v>
      </c>
      <c r="AI2" s="10" t="s">
        <v>34</v>
      </c>
      <c r="AJ2" s="9"/>
      <c r="AK2" s="9"/>
      <c r="AL2" s="9"/>
      <c r="AM2" s="9"/>
      <c r="AN2" s="9"/>
      <c r="AO2" s="9" t="s">
        <v>35</v>
      </c>
      <c r="AP2" s="9" t="s">
        <v>36</v>
      </c>
      <c r="AQ2" s="12" t="s">
        <v>37</v>
      </c>
      <c r="AR2" s="9" t="s">
        <v>38</v>
      </c>
      <c r="AS2" s="9" t="s">
        <v>39</v>
      </c>
      <c r="AT2" s="9" t="s">
        <v>40</v>
      </c>
      <c r="AU2" s="9" t="s">
        <v>41</v>
      </c>
    </row>
    <row r="3">
      <c r="A3" s="13"/>
      <c r="B3" s="13"/>
      <c r="C3" s="13"/>
      <c r="D3" s="13"/>
      <c r="E3" s="13"/>
      <c r="F3" s="14"/>
      <c r="G3" s="14" t="s">
        <v>42</v>
      </c>
      <c r="H3" s="14" t="s">
        <v>43</v>
      </c>
      <c r="I3" s="14" t="s">
        <v>42</v>
      </c>
      <c r="J3" s="14" t="s">
        <v>43</v>
      </c>
      <c r="K3" s="14" t="s">
        <v>42</v>
      </c>
      <c r="L3" s="14" t="s">
        <v>43</v>
      </c>
      <c r="M3" s="14" t="s">
        <v>42</v>
      </c>
      <c r="N3" s="14" t="s">
        <v>43</v>
      </c>
      <c r="O3" s="14" t="s">
        <v>42</v>
      </c>
      <c r="P3" s="14" t="s">
        <v>43</v>
      </c>
      <c r="Q3" s="13"/>
      <c r="R3" s="15">
        <v>4.0</v>
      </c>
      <c r="S3" s="15">
        <v>4.0</v>
      </c>
      <c r="T3" s="15">
        <v>4.0</v>
      </c>
      <c r="U3" s="15">
        <v>4.0</v>
      </c>
      <c r="V3" s="15">
        <v>4.0</v>
      </c>
      <c r="W3" s="14"/>
      <c r="X3" s="14"/>
      <c r="Y3" s="14"/>
      <c r="Z3" s="14"/>
      <c r="AA3" s="14"/>
      <c r="AB3" s="16" t="s">
        <v>44</v>
      </c>
      <c r="AC3" s="17"/>
      <c r="AD3" s="13"/>
      <c r="AE3" s="15">
        <v>5.0</v>
      </c>
      <c r="AF3" s="15">
        <v>4.0</v>
      </c>
      <c r="AG3" s="15">
        <v>4.0</v>
      </c>
      <c r="AH3" s="15">
        <v>4.0</v>
      </c>
      <c r="AI3" s="15">
        <v>3.0</v>
      </c>
      <c r="AJ3" s="13"/>
      <c r="AK3" s="13"/>
      <c r="AL3" s="13"/>
      <c r="AM3" s="13"/>
      <c r="AN3" s="13"/>
      <c r="AO3" s="16" t="s">
        <v>44</v>
      </c>
      <c r="AP3" s="17"/>
      <c r="AQ3" s="18" t="s">
        <v>44</v>
      </c>
      <c r="AR3" s="13"/>
      <c r="AS3" s="13"/>
      <c r="AT3" s="13"/>
      <c r="AU3" s="13"/>
    </row>
    <row r="4">
      <c r="A4" s="19" t="s">
        <v>45</v>
      </c>
      <c r="B4" s="20" t="s">
        <v>46</v>
      </c>
      <c r="C4" s="21" t="s">
        <v>47</v>
      </c>
      <c r="D4" s="22" t="s">
        <v>48</v>
      </c>
      <c r="E4" s="23" t="s">
        <v>49</v>
      </c>
      <c r="F4" s="24">
        <v>1.0</v>
      </c>
      <c r="G4" s="25"/>
      <c r="H4" s="25"/>
      <c r="I4" s="25"/>
      <c r="J4" s="25"/>
      <c r="K4" s="25"/>
      <c r="L4" s="25"/>
      <c r="M4" s="25"/>
      <c r="N4" s="25"/>
      <c r="O4" s="25"/>
      <c r="P4" s="25"/>
      <c r="R4" s="26" t="s">
        <v>3</v>
      </c>
      <c r="S4" s="26">
        <v>2.0</v>
      </c>
      <c r="T4" s="26">
        <v>3.0</v>
      </c>
      <c r="U4" s="26">
        <v>1.0</v>
      </c>
      <c r="V4" s="26">
        <v>1.0</v>
      </c>
      <c r="W4" s="27">
        <f>IF(R4="ND",0,R4*R$3/MAX(Datas!$A$3:$A$6))</f>
        <v>0</v>
      </c>
      <c r="X4" s="27">
        <f>IF(S4="ND",0,S4*S$3/MAX(Datas!$A$3:$A$6))</f>
        <v>2.666666667</v>
      </c>
      <c r="Y4" s="27">
        <f>IF(T4="ND",0,T4*T$3/MAX(Datas!$A$3:$A$6))</f>
        <v>4</v>
      </c>
      <c r="Z4" s="27">
        <f>IF(U4="ND",0,U4*U$3/MAX(Datas!$A$3:$A$6))</f>
        <v>1.333333333</v>
      </c>
      <c r="AA4" s="27">
        <f>IF(V4="ND",0,V4*V$3/MAX(Datas!$A$3:$A$6))</f>
        <v>1.333333333</v>
      </c>
      <c r="AB4" s="28">
        <f t="shared" ref="AB4:AB23" si="1">IF(A4="x",SUM(W4:AA4),"")</f>
        <v>9.333333333</v>
      </c>
      <c r="AC4" s="29"/>
      <c r="AE4" s="30">
        <v>3.0</v>
      </c>
      <c r="AF4" s="30">
        <v>2.0</v>
      </c>
      <c r="AG4" s="30" t="s">
        <v>3</v>
      </c>
      <c r="AH4" s="30">
        <v>3.0</v>
      </c>
      <c r="AI4" s="30">
        <v>1.0</v>
      </c>
      <c r="AJ4" s="31">
        <f>IF(AE4="ND",0,AE4*AE$3/MAX(Datas!$A$3:$A$6))</f>
        <v>5</v>
      </c>
      <c r="AK4" s="31">
        <f>IF(AF4="ND",0,AF4*AF$3/MAX(Datas!$A$3:$A$6))</f>
        <v>2.666666667</v>
      </c>
      <c r="AL4" s="31">
        <f>IF(AG4="ND",0,AG4*AG$3/MAX(Datas!$A$3:$A$6))</f>
        <v>0</v>
      </c>
      <c r="AM4" s="31">
        <f>IF(AH4="ND",0,AH4*AH$3/MAX(Datas!$A$3:$A$6))</f>
        <v>4</v>
      </c>
      <c r="AN4" s="31">
        <f>IF(AI4="ND",0,AI4*AI$3/MAX(Datas!$A$3:$A$6))</f>
        <v>1</v>
      </c>
      <c r="AO4" s="32">
        <f>IF(COUNTIF(A4:A8,"x")&gt;0,SUM(AJ4:AN4),"")</f>
        <v>12.66666667</v>
      </c>
      <c r="AP4" s="33"/>
      <c r="AQ4" s="34">
        <f>IF(A4="x",(AB4+(AO4*2))/3,"")</f>
        <v>11.55555556</v>
      </c>
      <c r="AR4" s="35"/>
      <c r="AS4" s="35"/>
      <c r="AT4" s="36"/>
      <c r="AU4" s="37"/>
    </row>
    <row r="5">
      <c r="A5" s="38" t="s">
        <v>45</v>
      </c>
      <c r="B5" s="39" t="s">
        <v>50</v>
      </c>
      <c r="C5" s="40" t="s">
        <v>51</v>
      </c>
      <c r="D5" s="41" t="s">
        <v>52</v>
      </c>
      <c r="E5" s="42" t="s">
        <v>49</v>
      </c>
      <c r="F5" s="43">
        <f t="shared" ref="F5:F8" si="4">IF(F4="","",F4)</f>
        <v>1</v>
      </c>
      <c r="G5" s="44"/>
      <c r="H5" s="44"/>
      <c r="I5" s="44"/>
      <c r="J5" s="44"/>
      <c r="K5" s="44"/>
      <c r="L5" s="44"/>
      <c r="M5" s="44"/>
      <c r="N5" s="44"/>
      <c r="O5" s="44"/>
      <c r="P5" s="44"/>
      <c r="R5" s="45">
        <v>3.0</v>
      </c>
      <c r="S5" s="45">
        <v>3.0</v>
      </c>
      <c r="T5" s="45">
        <v>3.0</v>
      </c>
      <c r="U5" s="45">
        <v>3.0</v>
      </c>
      <c r="V5" s="45">
        <v>3.0</v>
      </c>
      <c r="W5" s="27">
        <f>IF(R5="ND",0,R5*R$3/MAX(Datas!$A$3:$A$6))</f>
        <v>4</v>
      </c>
      <c r="X5" s="27">
        <f>IF(S5="ND",0,S5*S$3/MAX(Datas!$A$3:$A$6))</f>
        <v>4</v>
      </c>
      <c r="Y5" s="27">
        <f>IF(T5="ND",0,T5*T$3/MAX(Datas!$A$3:$A$6))</f>
        <v>4</v>
      </c>
      <c r="Z5" s="27">
        <f>IF(U5="ND",0,U5*U$3/MAX(Datas!$A$3:$A$6))</f>
        <v>4</v>
      </c>
      <c r="AA5" s="27">
        <f>IF(V5="ND",0,V5*V$3/MAX(Datas!$A$3:$A$6))</f>
        <v>4</v>
      </c>
      <c r="AB5" s="28">
        <f t="shared" si="1"/>
        <v>20</v>
      </c>
      <c r="AC5" s="46"/>
      <c r="AE5" s="47"/>
      <c r="AF5" s="47"/>
      <c r="AG5" s="47"/>
      <c r="AH5" s="47"/>
      <c r="AI5" s="47"/>
      <c r="AJ5" s="48">
        <f t="shared" ref="AJ5:AO5" si="2">AJ4</f>
        <v>5</v>
      </c>
      <c r="AK5" s="48">
        <f t="shared" si="2"/>
        <v>2.666666667</v>
      </c>
      <c r="AL5" s="48">
        <f t="shared" si="2"/>
        <v>0</v>
      </c>
      <c r="AM5" s="48">
        <f t="shared" si="2"/>
        <v>4</v>
      </c>
      <c r="AN5" s="48">
        <f t="shared" si="2"/>
        <v>1</v>
      </c>
      <c r="AO5" s="49">
        <f t="shared" si="2"/>
        <v>12.66666667</v>
      </c>
      <c r="AP5" s="50" t="str">
        <f t="shared" ref="AP5:AP8" si="6">IF(AP4="","",AP4)</f>
        <v/>
      </c>
      <c r="AQ5" s="34">
        <f>IF(A5="x",(AB5+(AO4*2))/3,"")</f>
        <v>15.11111111</v>
      </c>
      <c r="AR5" s="51"/>
      <c r="AS5" s="51"/>
      <c r="AT5" s="52" t="str">
        <f t="shared" ref="AT5:AU5" si="3">IF(AT4="","",AT4)</f>
        <v/>
      </c>
      <c r="AU5" s="53" t="str">
        <f t="shared" si="3"/>
        <v/>
      </c>
    </row>
    <row r="6">
      <c r="A6" s="38"/>
      <c r="B6" s="54"/>
      <c r="C6" s="40"/>
      <c r="D6" s="40"/>
      <c r="E6" s="42"/>
      <c r="F6" s="43">
        <f t="shared" si="4"/>
        <v>1</v>
      </c>
      <c r="G6" s="44"/>
      <c r="H6" s="44"/>
      <c r="I6" s="44"/>
      <c r="J6" s="44"/>
      <c r="K6" s="44"/>
      <c r="L6" s="44"/>
      <c r="M6" s="44"/>
      <c r="N6" s="44"/>
      <c r="O6" s="44"/>
      <c r="P6" s="44"/>
      <c r="R6" s="45"/>
      <c r="S6" s="45"/>
      <c r="T6" s="45"/>
      <c r="U6" s="45"/>
      <c r="V6" s="45"/>
      <c r="W6" s="27">
        <f>IF(R6="ND",0,R6*R$3/MAX(Datas!$A$3:$A$6))</f>
        <v>0</v>
      </c>
      <c r="X6" s="27">
        <f>IF(S6="ND",0,S6*S$3/MAX(Datas!$A$3:$A$6))</f>
        <v>0</v>
      </c>
      <c r="Y6" s="27">
        <f>IF(T6="ND",0,T6*T$3/MAX(Datas!$A$3:$A$6))</f>
        <v>0</v>
      </c>
      <c r="Z6" s="27">
        <f>IF(U6="ND",0,U6*U$3/MAX(Datas!$A$3:$A$6))</f>
        <v>0</v>
      </c>
      <c r="AA6" s="27">
        <f>IF(V6="ND",0,V6*V$3/MAX(Datas!$A$3:$A$6))</f>
        <v>0</v>
      </c>
      <c r="AB6" s="28" t="str">
        <f t="shared" si="1"/>
        <v/>
      </c>
      <c r="AC6" s="46"/>
      <c r="AE6" s="47"/>
      <c r="AF6" s="47"/>
      <c r="AG6" s="47"/>
      <c r="AH6" s="47"/>
      <c r="AI6" s="47"/>
      <c r="AJ6" s="48">
        <f t="shared" ref="AJ6:AO6" si="5">AJ5</f>
        <v>5</v>
      </c>
      <c r="AK6" s="48">
        <f t="shared" si="5"/>
        <v>2.666666667</v>
      </c>
      <c r="AL6" s="48">
        <f t="shared" si="5"/>
        <v>0</v>
      </c>
      <c r="AM6" s="48">
        <f t="shared" si="5"/>
        <v>4</v>
      </c>
      <c r="AN6" s="48">
        <f t="shared" si="5"/>
        <v>1</v>
      </c>
      <c r="AO6" s="49">
        <f t="shared" si="5"/>
        <v>12.66666667</v>
      </c>
      <c r="AP6" s="50" t="str">
        <f t="shared" si="6"/>
        <v/>
      </c>
      <c r="AQ6" s="34" t="str">
        <f>IF(A6="x",(AB6+(AO4*2))/3,"")</f>
        <v/>
      </c>
      <c r="AR6" s="51"/>
      <c r="AS6" s="51"/>
      <c r="AT6" s="52" t="str">
        <f t="shared" ref="AT6:AU6" si="7">IF(AT5="","",AT5)</f>
        <v/>
      </c>
      <c r="AU6" s="53" t="str">
        <f t="shared" si="7"/>
        <v/>
      </c>
    </row>
    <row r="7">
      <c r="A7" s="38"/>
      <c r="B7" s="54"/>
      <c r="C7" s="40"/>
      <c r="D7" s="40"/>
      <c r="E7" s="42"/>
      <c r="F7" s="43">
        <f t="shared" si="4"/>
        <v>1</v>
      </c>
      <c r="G7" s="44"/>
      <c r="H7" s="44"/>
      <c r="I7" s="44"/>
      <c r="J7" s="44"/>
      <c r="K7" s="44"/>
      <c r="L7" s="44"/>
      <c r="M7" s="44"/>
      <c r="N7" s="44"/>
      <c r="O7" s="44"/>
      <c r="P7" s="44"/>
      <c r="R7" s="45"/>
      <c r="S7" s="45"/>
      <c r="T7" s="45"/>
      <c r="U7" s="45"/>
      <c r="V7" s="45"/>
      <c r="W7" s="27">
        <f>IF(R7="ND",0,R7*R$3/MAX(Datas!$A$3:$A$6))</f>
        <v>0</v>
      </c>
      <c r="X7" s="27">
        <f>IF(S7="ND",0,S7*S$3/MAX(Datas!$A$3:$A$6))</f>
        <v>0</v>
      </c>
      <c r="Y7" s="27">
        <f>IF(T7="ND",0,T7*T$3/MAX(Datas!$A$3:$A$6))</f>
        <v>0</v>
      </c>
      <c r="Z7" s="27">
        <f>IF(U7="ND",0,U7*U$3/MAX(Datas!$A$3:$A$6))</f>
        <v>0</v>
      </c>
      <c r="AA7" s="27">
        <f>IF(V7="ND",0,V7*V$3/MAX(Datas!$A$3:$A$6))</f>
        <v>0</v>
      </c>
      <c r="AB7" s="28" t="str">
        <f t="shared" si="1"/>
        <v/>
      </c>
      <c r="AC7" s="46"/>
      <c r="AE7" s="47"/>
      <c r="AF7" s="47"/>
      <c r="AG7" s="47"/>
      <c r="AH7" s="47"/>
      <c r="AI7" s="47"/>
      <c r="AJ7" s="48">
        <f t="shared" ref="AJ7:AO7" si="8">AJ6</f>
        <v>5</v>
      </c>
      <c r="AK7" s="48">
        <f t="shared" si="8"/>
        <v>2.666666667</v>
      </c>
      <c r="AL7" s="48">
        <f t="shared" si="8"/>
        <v>0</v>
      </c>
      <c r="AM7" s="48">
        <f t="shared" si="8"/>
        <v>4</v>
      </c>
      <c r="AN7" s="48">
        <f t="shared" si="8"/>
        <v>1</v>
      </c>
      <c r="AO7" s="49">
        <f t="shared" si="8"/>
        <v>12.66666667</v>
      </c>
      <c r="AP7" s="50" t="str">
        <f t="shared" si="6"/>
        <v/>
      </c>
      <c r="AQ7" s="34" t="str">
        <f>IF(A7="x",(AB7+(AO4*2))/3,"")</f>
        <v/>
      </c>
      <c r="AR7" s="51"/>
      <c r="AS7" s="51"/>
      <c r="AT7" s="52" t="str">
        <f t="shared" ref="AT7:AU7" si="9">IF(AT6="","",AT6)</f>
        <v/>
      </c>
      <c r="AU7" s="53" t="str">
        <f t="shared" si="9"/>
        <v/>
      </c>
    </row>
    <row r="8">
      <c r="A8" s="55"/>
      <c r="B8" s="56"/>
      <c r="C8" s="57"/>
      <c r="D8" s="57"/>
      <c r="E8" s="58"/>
      <c r="F8" s="59">
        <f t="shared" si="4"/>
        <v>1</v>
      </c>
      <c r="G8" s="60"/>
      <c r="H8" s="60"/>
      <c r="I8" s="60"/>
      <c r="J8" s="60"/>
      <c r="K8" s="60"/>
      <c r="L8" s="60"/>
      <c r="M8" s="60"/>
      <c r="N8" s="60"/>
      <c r="O8" s="60"/>
      <c r="P8" s="60"/>
      <c r="Q8" s="13"/>
      <c r="R8" s="61"/>
      <c r="S8" s="61"/>
      <c r="T8" s="61"/>
      <c r="U8" s="61"/>
      <c r="V8" s="61"/>
      <c r="W8" s="62">
        <f>IF(R8="ND",0,R8*R$3/MAX(Datas!$A$3:$A$6))</f>
        <v>0</v>
      </c>
      <c r="X8" s="62">
        <f>IF(S8="ND",0,S8*S$3/MAX(Datas!$A$3:$A$6))</f>
        <v>0</v>
      </c>
      <c r="Y8" s="62">
        <f>IF(T8="ND",0,T8*T$3/MAX(Datas!$A$3:$A$6))</f>
        <v>0</v>
      </c>
      <c r="Z8" s="62">
        <f>IF(U8="ND",0,U8*U$3/MAX(Datas!$A$3:$A$6))</f>
        <v>0</v>
      </c>
      <c r="AA8" s="62">
        <f>IF(V8="ND",0,V8*V$3/MAX(Datas!$A$3:$A$6))</f>
        <v>0</v>
      </c>
      <c r="AB8" s="63" t="str">
        <f t="shared" si="1"/>
        <v/>
      </c>
      <c r="AC8" s="64"/>
      <c r="AD8" s="13"/>
      <c r="AE8" s="65"/>
      <c r="AF8" s="65"/>
      <c r="AG8" s="65"/>
      <c r="AH8" s="65"/>
      <c r="AI8" s="65"/>
      <c r="AJ8" s="66">
        <f t="shared" ref="AJ8:AO8" si="10">AJ7</f>
        <v>5</v>
      </c>
      <c r="AK8" s="66">
        <f t="shared" si="10"/>
        <v>2.666666667</v>
      </c>
      <c r="AL8" s="66">
        <f t="shared" si="10"/>
        <v>0</v>
      </c>
      <c r="AM8" s="66">
        <f t="shared" si="10"/>
        <v>4</v>
      </c>
      <c r="AN8" s="66">
        <f t="shared" si="10"/>
        <v>1</v>
      </c>
      <c r="AO8" s="67">
        <f t="shared" si="10"/>
        <v>12.66666667</v>
      </c>
      <c r="AP8" s="68" t="str">
        <f t="shared" si="6"/>
        <v/>
      </c>
      <c r="AQ8" s="69" t="str">
        <f>IF(A8="x",(AB8+(AO4*2))/3,"")</f>
        <v/>
      </c>
      <c r="AR8" s="70"/>
      <c r="AS8" s="70"/>
      <c r="AT8" s="71" t="str">
        <f t="shared" ref="AT8:AU8" si="11">IF(AT7="","",AT7)</f>
        <v/>
      </c>
      <c r="AU8" s="72" t="str">
        <f t="shared" si="11"/>
        <v/>
      </c>
    </row>
    <row r="9">
      <c r="A9" s="19"/>
      <c r="B9" s="73"/>
      <c r="C9" s="74"/>
      <c r="D9" s="75"/>
      <c r="E9" s="76"/>
      <c r="F9" s="24"/>
      <c r="G9" s="77"/>
      <c r="H9" s="77"/>
      <c r="I9" s="77"/>
      <c r="J9" s="77"/>
      <c r="K9" s="77"/>
      <c r="L9" s="77"/>
      <c r="M9" s="77"/>
      <c r="N9" s="77"/>
      <c r="O9" s="77"/>
      <c r="P9" s="77"/>
      <c r="R9" s="26"/>
      <c r="S9" s="26"/>
      <c r="T9" s="26"/>
      <c r="U9" s="26"/>
      <c r="V9" s="26"/>
      <c r="W9" s="27">
        <f>IF(R9="ND",0,R9*R$3/MAX(Datas!$A$3:$A$6))</f>
        <v>0</v>
      </c>
      <c r="X9" s="27">
        <f>IF(S9="ND",0,S9*S$3/MAX(Datas!$A$3:$A$6))</f>
        <v>0</v>
      </c>
      <c r="Y9" s="27">
        <f>IF(T9="ND",0,T9*T$3/MAX(Datas!$A$3:$A$6))</f>
        <v>0</v>
      </c>
      <c r="Z9" s="27">
        <f>IF(U9="ND",0,U9*U$3/MAX(Datas!$A$3:$A$6))</f>
        <v>0</v>
      </c>
      <c r="AA9" s="27">
        <f>IF(V9="ND",0,V9*V$3/MAX(Datas!$A$3:$A$6))</f>
        <v>0</v>
      </c>
      <c r="AB9" s="28" t="str">
        <f t="shared" si="1"/>
        <v/>
      </c>
      <c r="AC9" s="78"/>
      <c r="AE9" s="30"/>
      <c r="AF9" s="30"/>
      <c r="AG9" s="30"/>
      <c r="AH9" s="30"/>
      <c r="AI9" s="30"/>
      <c r="AJ9" s="31">
        <f>IF(AE9="ND",0,AE9*AE$3/MAX(Datas!$A$3:$A$6))</f>
        <v>0</v>
      </c>
      <c r="AK9" s="31">
        <f>IF(AF9="ND",0,AF9*AF$3/MAX(Datas!$A$3:$A$6))</f>
        <v>0</v>
      </c>
      <c r="AL9" s="31">
        <f>IF(AG9="ND",0,AG9*AG$3/MAX(Datas!$A$3:$A$6))</f>
        <v>0</v>
      </c>
      <c r="AM9" s="31">
        <f>IF(AH9="ND",0,AH9*AH$3/MAX(Datas!$A$3:$A$6))</f>
        <v>0</v>
      </c>
      <c r="AN9" s="31">
        <f>IF(AI9="ND",0,AI9*AI$3/MAX(Datas!$A$3:$A$6))</f>
        <v>0</v>
      </c>
      <c r="AO9" s="32" t="str">
        <f>IF(COUNTIF(A9:A13,"x")&gt;0,SUM(AJ9:AN9),"")</f>
        <v/>
      </c>
      <c r="AP9" s="33"/>
      <c r="AQ9" s="34" t="str">
        <f>IF(A9="x",(AB9+(AO9*2))/3,"")</f>
        <v/>
      </c>
      <c r="AR9" s="79"/>
      <c r="AS9" s="79"/>
      <c r="AT9" s="36"/>
      <c r="AU9" s="37"/>
    </row>
    <row r="10">
      <c r="A10" s="38"/>
      <c r="B10" s="54"/>
      <c r="C10" s="40"/>
      <c r="D10" s="41"/>
      <c r="E10" s="42"/>
      <c r="F10" s="43" t="str">
        <f t="shared" ref="F10:F13" si="14">IF(F9="","",F9)</f>
        <v/>
      </c>
      <c r="G10" s="44"/>
      <c r="H10" s="44"/>
      <c r="I10" s="44"/>
      <c r="J10" s="44"/>
      <c r="K10" s="44"/>
      <c r="L10" s="44"/>
      <c r="M10" s="44"/>
      <c r="N10" s="44"/>
      <c r="O10" s="44"/>
      <c r="P10" s="44"/>
      <c r="R10" s="45"/>
      <c r="S10" s="45"/>
      <c r="T10" s="45"/>
      <c r="U10" s="45"/>
      <c r="V10" s="45"/>
      <c r="W10" s="27">
        <f>IF(R10="ND",0,R10*R$3/MAX(Datas!$A$3:$A$6))</f>
        <v>0</v>
      </c>
      <c r="X10" s="27">
        <f>IF(S10="ND",0,S10*S$3/MAX(Datas!$A$3:$A$6))</f>
        <v>0</v>
      </c>
      <c r="Y10" s="27">
        <f>IF(T10="ND",0,T10*T$3/MAX(Datas!$A$3:$A$6))</f>
        <v>0</v>
      </c>
      <c r="Z10" s="27">
        <f>IF(U10="ND",0,U10*U$3/MAX(Datas!$A$3:$A$6))</f>
        <v>0</v>
      </c>
      <c r="AA10" s="27">
        <f>IF(V10="ND",0,V10*V$3/MAX(Datas!$A$3:$A$6))</f>
        <v>0</v>
      </c>
      <c r="AB10" s="28" t="str">
        <f t="shared" si="1"/>
        <v/>
      </c>
      <c r="AC10" s="46"/>
      <c r="AE10" s="47"/>
      <c r="AF10" s="47"/>
      <c r="AG10" s="47"/>
      <c r="AH10" s="47"/>
      <c r="AI10" s="47"/>
      <c r="AJ10" s="48">
        <f t="shared" ref="AJ10:AO10" si="12">AJ9</f>
        <v>0</v>
      </c>
      <c r="AK10" s="48">
        <f t="shared" si="12"/>
        <v>0</v>
      </c>
      <c r="AL10" s="48">
        <f t="shared" si="12"/>
        <v>0</v>
      </c>
      <c r="AM10" s="48">
        <f t="shared" si="12"/>
        <v>0</v>
      </c>
      <c r="AN10" s="48">
        <f t="shared" si="12"/>
        <v>0</v>
      </c>
      <c r="AO10" s="49" t="str">
        <f t="shared" si="12"/>
        <v/>
      </c>
      <c r="AP10" s="50" t="str">
        <f t="shared" ref="AP10:AP13" si="16">IF(AP9="","",AP9)</f>
        <v/>
      </c>
      <c r="AQ10" s="34" t="str">
        <f>IF(A10="x",(AB10+(AO9*2))/3,"")</f>
        <v/>
      </c>
      <c r="AR10" s="51"/>
      <c r="AS10" s="51"/>
      <c r="AT10" s="52" t="str">
        <f t="shared" ref="AT10:AU10" si="13">IF(AT9="","",AT9)</f>
        <v/>
      </c>
      <c r="AU10" s="53" t="str">
        <f t="shared" si="13"/>
        <v/>
      </c>
    </row>
    <row r="11">
      <c r="A11" s="38"/>
      <c r="B11" s="54"/>
      <c r="C11" s="40"/>
      <c r="D11" s="40"/>
      <c r="E11" s="42"/>
      <c r="F11" s="43" t="str">
        <f t="shared" si="14"/>
        <v/>
      </c>
      <c r="G11" s="44"/>
      <c r="H11" s="44"/>
      <c r="I11" s="44"/>
      <c r="J11" s="44"/>
      <c r="K11" s="44"/>
      <c r="L11" s="44"/>
      <c r="M11" s="44"/>
      <c r="N11" s="44"/>
      <c r="O11" s="44"/>
      <c r="P11" s="44"/>
      <c r="R11" s="45"/>
      <c r="S11" s="45"/>
      <c r="T11" s="45"/>
      <c r="U11" s="45"/>
      <c r="V11" s="45"/>
      <c r="W11" s="27">
        <f>IF(R11="ND",0,R11*R$3/MAX(Datas!$A$3:$A$6))</f>
        <v>0</v>
      </c>
      <c r="X11" s="27">
        <f>IF(S11="ND",0,S11*S$3/MAX(Datas!$A$3:$A$6))</f>
        <v>0</v>
      </c>
      <c r="Y11" s="27">
        <f>IF(T11="ND",0,T11*T$3/MAX(Datas!$A$3:$A$6))</f>
        <v>0</v>
      </c>
      <c r="Z11" s="27">
        <f>IF(U11="ND",0,U11*U$3/MAX(Datas!$A$3:$A$6))</f>
        <v>0</v>
      </c>
      <c r="AA11" s="27">
        <f>IF(V11="ND",0,V11*V$3/MAX(Datas!$A$3:$A$6))</f>
        <v>0</v>
      </c>
      <c r="AB11" s="28" t="str">
        <f t="shared" si="1"/>
        <v/>
      </c>
      <c r="AC11" s="46"/>
      <c r="AE11" s="47"/>
      <c r="AF11" s="47"/>
      <c r="AG11" s="47"/>
      <c r="AH11" s="47"/>
      <c r="AI11" s="47"/>
      <c r="AJ11" s="48">
        <f t="shared" ref="AJ11:AO11" si="15">AJ10</f>
        <v>0</v>
      </c>
      <c r="AK11" s="48">
        <f t="shared" si="15"/>
        <v>0</v>
      </c>
      <c r="AL11" s="48">
        <f t="shared" si="15"/>
        <v>0</v>
      </c>
      <c r="AM11" s="48">
        <f t="shared" si="15"/>
        <v>0</v>
      </c>
      <c r="AN11" s="48">
        <f t="shared" si="15"/>
        <v>0</v>
      </c>
      <c r="AO11" s="49" t="str">
        <f t="shared" si="15"/>
        <v/>
      </c>
      <c r="AP11" s="50" t="str">
        <f t="shared" si="16"/>
        <v/>
      </c>
      <c r="AQ11" s="34" t="str">
        <f>IF(A11="x",(AB11+(AO9*2))/3,"")</f>
        <v/>
      </c>
      <c r="AR11" s="51"/>
      <c r="AS11" s="51"/>
      <c r="AT11" s="52" t="str">
        <f t="shared" ref="AT11:AU11" si="17">IF(AT10="","",AT10)</f>
        <v/>
      </c>
      <c r="AU11" s="53" t="str">
        <f t="shared" si="17"/>
        <v/>
      </c>
    </row>
    <row r="12">
      <c r="A12" s="38"/>
      <c r="B12" s="54"/>
      <c r="C12" s="40"/>
      <c r="D12" s="40"/>
      <c r="E12" s="42"/>
      <c r="F12" s="43" t="str">
        <f t="shared" si="14"/>
        <v/>
      </c>
      <c r="G12" s="44"/>
      <c r="H12" s="44"/>
      <c r="I12" s="44"/>
      <c r="J12" s="44"/>
      <c r="K12" s="44"/>
      <c r="L12" s="44"/>
      <c r="M12" s="44"/>
      <c r="N12" s="44"/>
      <c r="O12" s="44"/>
      <c r="P12" s="44"/>
      <c r="R12" s="45"/>
      <c r="S12" s="45"/>
      <c r="T12" s="45"/>
      <c r="U12" s="45"/>
      <c r="V12" s="45"/>
      <c r="W12" s="27">
        <f>IF(R12="ND",0,R12*R$3/MAX(Datas!$A$3:$A$6))</f>
        <v>0</v>
      </c>
      <c r="X12" s="27">
        <f>IF(S12="ND",0,S12*S$3/MAX(Datas!$A$3:$A$6))</f>
        <v>0</v>
      </c>
      <c r="Y12" s="27">
        <f>IF(T12="ND",0,T12*T$3/MAX(Datas!$A$3:$A$6))</f>
        <v>0</v>
      </c>
      <c r="Z12" s="27">
        <f>IF(U12="ND",0,U12*U$3/MAX(Datas!$A$3:$A$6))</f>
        <v>0</v>
      </c>
      <c r="AA12" s="27">
        <f>IF(V12="ND",0,V12*V$3/MAX(Datas!$A$3:$A$6))</f>
        <v>0</v>
      </c>
      <c r="AB12" s="28" t="str">
        <f t="shared" si="1"/>
        <v/>
      </c>
      <c r="AC12" s="46"/>
      <c r="AE12" s="47"/>
      <c r="AF12" s="47"/>
      <c r="AG12" s="47"/>
      <c r="AH12" s="47"/>
      <c r="AI12" s="47"/>
      <c r="AJ12" s="48">
        <f t="shared" ref="AJ12:AO12" si="18">AJ11</f>
        <v>0</v>
      </c>
      <c r="AK12" s="48">
        <f t="shared" si="18"/>
        <v>0</v>
      </c>
      <c r="AL12" s="48">
        <f t="shared" si="18"/>
        <v>0</v>
      </c>
      <c r="AM12" s="48">
        <f t="shared" si="18"/>
        <v>0</v>
      </c>
      <c r="AN12" s="48">
        <f t="shared" si="18"/>
        <v>0</v>
      </c>
      <c r="AO12" s="49" t="str">
        <f t="shared" si="18"/>
        <v/>
      </c>
      <c r="AP12" s="50" t="str">
        <f t="shared" si="16"/>
        <v/>
      </c>
      <c r="AQ12" s="34" t="str">
        <f>IF(A12="x",(AB12+(AO9*2))/3,"")</f>
        <v/>
      </c>
      <c r="AR12" s="51"/>
      <c r="AS12" s="51"/>
      <c r="AT12" s="52" t="str">
        <f t="shared" ref="AT12:AU12" si="19">IF(AT11="","",AT11)</f>
        <v/>
      </c>
      <c r="AU12" s="53" t="str">
        <f t="shared" si="19"/>
        <v/>
      </c>
    </row>
    <row r="13">
      <c r="A13" s="55"/>
      <c r="B13" s="56"/>
      <c r="C13" s="57"/>
      <c r="D13" s="57"/>
      <c r="E13" s="58"/>
      <c r="F13" s="59" t="str">
        <f t="shared" si="14"/>
        <v/>
      </c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13"/>
      <c r="R13" s="61"/>
      <c r="S13" s="61"/>
      <c r="T13" s="61"/>
      <c r="U13" s="61"/>
      <c r="V13" s="61"/>
      <c r="W13" s="62">
        <f>IF(R13="ND",0,R13*R$3/MAX(Datas!$A$3:$A$6))</f>
        <v>0</v>
      </c>
      <c r="X13" s="62">
        <f>IF(S13="ND",0,S13*S$3/MAX(Datas!$A$3:$A$6))</f>
        <v>0</v>
      </c>
      <c r="Y13" s="62">
        <f>IF(T13="ND",0,T13*T$3/MAX(Datas!$A$3:$A$6))</f>
        <v>0</v>
      </c>
      <c r="Z13" s="62">
        <f>IF(U13="ND",0,U13*U$3/MAX(Datas!$A$3:$A$6))</f>
        <v>0</v>
      </c>
      <c r="AA13" s="62">
        <f>IF(V13="ND",0,V13*V$3/MAX(Datas!$A$3:$A$6))</f>
        <v>0</v>
      </c>
      <c r="AB13" s="63" t="str">
        <f t="shared" si="1"/>
        <v/>
      </c>
      <c r="AC13" s="64"/>
      <c r="AD13" s="13"/>
      <c r="AE13" s="65"/>
      <c r="AF13" s="65"/>
      <c r="AG13" s="65"/>
      <c r="AH13" s="65"/>
      <c r="AI13" s="65"/>
      <c r="AJ13" s="66">
        <f t="shared" ref="AJ13:AO13" si="20">AJ12</f>
        <v>0</v>
      </c>
      <c r="AK13" s="66">
        <f t="shared" si="20"/>
        <v>0</v>
      </c>
      <c r="AL13" s="66">
        <f t="shared" si="20"/>
        <v>0</v>
      </c>
      <c r="AM13" s="66">
        <f t="shared" si="20"/>
        <v>0</v>
      </c>
      <c r="AN13" s="66">
        <f t="shared" si="20"/>
        <v>0</v>
      </c>
      <c r="AO13" s="67" t="str">
        <f t="shared" si="20"/>
        <v/>
      </c>
      <c r="AP13" s="68" t="str">
        <f t="shared" si="16"/>
        <v/>
      </c>
      <c r="AQ13" s="69" t="str">
        <f>IF(A13="x",(AB13+(AO9*2))/3,"")</f>
        <v/>
      </c>
      <c r="AR13" s="70"/>
      <c r="AS13" s="70"/>
      <c r="AT13" s="71" t="str">
        <f t="shared" ref="AT13:AU13" si="21">IF(AT12="","",AT12)</f>
        <v/>
      </c>
      <c r="AU13" s="72" t="str">
        <f t="shared" si="21"/>
        <v/>
      </c>
    </row>
    <row r="14">
      <c r="A14" s="19"/>
      <c r="B14" s="73"/>
      <c r="C14" s="74"/>
      <c r="D14" s="75"/>
      <c r="E14" s="76"/>
      <c r="F14" s="24"/>
      <c r="G14" s="77"/>
      <c r="H14" s="77"/>
      <c r="I14" s="77"/>
      <c r="J14" s="77"/>
      <c r="K14" s="77"/>
      <c r="L14" s="77"/>
      <c r="M14" s="77"/>
      <c r="N14" s="77"/>
      <c r="O14" s="77"/>
      <c r="P14" s="77"/>
      <c r="R14" s="26"/>
      <c r="S14" s="26"/>
      <c r="T14" s="26"/>
      <c r="U14" s="26"/>
      <c r="V14" s="26"/>
      <c r="W14" s="27">
        <f>IF(R14="ND",0,R14*R$3/MAX(Datas!$A$3:$A$6))</f>
        <v>0</v>
      </c>
      <c r="X14" s="27">
        <f>IF(S14="ND",0,S14*S$3/MAX(Datas!$A$3:$A$6))</f>
        <v>0</v>
      </c>
      <c r="Y14" s="27">
        <f>IF(T14="ND",0,T14*T$3/MAX(Datas!$A$3:$A$6))</f>
        <v>0</v>
      </c>
      <c r="Z14" s="27">
        <f>IF(U14="ND",0,U14*U$3/MAX(Datas!$A$3:$A$6))</f>
        <v>0</v>
      </c>
      <c r="AA14" s="27">
        <f>IF(V14="ND",0,V14*V$3/MAX(Datas!$A$3:$A$6))</f>
        <v>0</v>
      </c>
      <c r="AB14" s="28" t="str">
        <f t="shared" si="1"/>
        <v/>
      </c>
      <c r="AC14" s="78"/>
      <c r="AE14" s="30"/>
      <c r="AF14" s="30"/>
      <c r="AG14" s="30"/>
      <c r="AH14" s="30"/>
      <c r="AI14" s="30"/>
      <c r="AJ14" s="31">
        <f>IF(AE14="ND",0,AE14*AE$3/MAX(Datas!$A$3:$A$6))</f>
        <v>0</v>
      </c>
      <c r="AK14" s="31">
        <f>IF(AF14="ND",0,AF14*AF$3/MAX(Datas!$A$3:$A$6))</f>
        <v>0</v>
      </c>
      <c r="AL14" s="31">
        <f>IF(AG14="ND",0,AG14*AG$3/MAX(Datas!$A$3:$A$6))</f>
        <v>0</v>
      </c>
      <c r="AM14" s="31">
        <f>IF(AH14="ND",0,AH14*AH$3/MAX(Datas!$A$3:$A$6))</f>
        <v>0</v>
      </c>
      <c r="AN14" s="31">
        <f>IF(AI14="ND",0,AI14*AI$3/MAX(Datas!$A$3:$A$6))</f>
        <v>0</v>
      </c>
      <c r="AO14" s="32" t="str">
        <f>IF(COUNTIF(A14:A18,"x")&gt;0,SUM(AJ14:AN14),"")</f>
        <v/>
      </c>
      <c r="AP14" s="33"/>
      <c r="AQ14" s="34" t="str">
        <f>IF(A14="x",(AB14+(AO14*2))/3,"")</f>
        <v/>
      </c>
      <c r="AR14" s="79"/>
      <c r="AS14" s="79"/>
      <c r="AT14" s="36"/>
      <c r="AU14" s="37"/>
    </row>
    <row r="15">
      <c r="A15" s="38"/>
      <c r="B15" s="54"/>
      <c r="C15" s="40"/>
      <c r="D15" s="41"/>
      <c r="E15" s="42"/>
      <c r="F15" s="43" t="str">
        <f t="shared" ref="F15:F18" si="24">IF(F14="","",F14)</f>
        <v/>
      </c>
      <c r="G15" s="44"/>
      <c r="H15" s="44"/>
      <c r="I15" s="44"/>
      <c r="J15" s="44"/>
      <c r="K15" s="44"/>
      <c r="L15" s="44"/>
      <c r="M15" s="44"/>
      <c r="N15" s="44"/>
      <c r="O15" s="44"/>
      <c r="P15" s="44"/>
      <c r="R15" s="45"/>
      <c r="S15" s="45"/>
      <c r="T15" s="45"/>
      <c r="U15" s="45"/>
      <c r="V15" s="45"/>
      <c r="W15" s="27">
        <f>IF(R15="ND",0,R15*R$3/MAX(Datas!$A$3:$A$6))</f>
        <v>0</v>
      </c>
      <c r="X15" s="27">
        <f>IF(S15="ND",0,S15*S$3/MAX(Datas!$A$3:$A$6))</f>
        <v>0</v>
      </c>
      <c r="Y15" s="27">
        <f>IF(T15="ND",0,T15*T$3/MAX(Datas!$A$3:$A$6))</f>
        <v>0</v>
      </c>
      <c r="Z15" s="27">
        <f>IF(U15="ND",0,U15*U$3/MAX(Datas!$A$3:$A$6))</f>
        <v>0</v>
      </c>
      <c r="AA15" s="27">
        <f>IF(V15="ND",0,V15*V$3/MAX(Datas!$A$3:$A$6))</f>
        <v>0</v>
      </c>
      <c r="AB15" s="28" t="str">
        <f t="shared" si="1"/>
        <v/>
      </c>
      <c r="AC15" s="46"/>
      <c r="AE15" s="47"/>
      <c r="AF15" s="47"/>
      <c r="AG15" s="47"/>
      <c r="AH15" s="47"/>
      <c r="AI15" s="47"/>
      <c r="AJ15" s="48">
        <f t="shared" ref="AJ15:AO15" si="22">AJ14</f>
        <v>0</v>
      </c>
      <c r="AK15" s="48">
        <f t="shared" si="22"/>
        <v>0</v>
      </c>
      <c r="AL15" s="48">
        <f t="shared" si="22"/>
        <v>0</v>
      </c>
      <c r="AM15" s="48">
        <f t="shared" si="22"/>
        <v>0</v>
      </c>
      <c r="AN15" s="48">
        <f t="shared" si="22"/>
        <v>0</v>
      </c>
      <c r="AO15" s="49" t="str">
        <f t="shared" si="22"/>
        <v/>
      </c>
      <c r="AP15" s="50" t="str">
        <f t="shared" ref="AP15:AP18" si="26">IF(AP14="","",AP14)</f>
        <v/>
      </c>
      <c r="AQ15" s="34" t="str">
        <f>IF(A15="x",(AB15+(AO14*2))/3,"")</f>
        <v/>
      </c>
      <c r="AR15" s="51"/>
      <c r="AS15" s="51"/>
      <c r="AT15" s="52" t="str">
        <f t="shared" ref="AT15:AU15" si="23">IF(AT14="","",AT14)</f>
        <v/>
      </c>
      <c r="AU15" s="53" t="str">
        <f t="shared" si="23"/>
        <v/>
      </c>
    </row>
    <row r="16">
      <c r="A16" s="38"/>
      <c r="B16" s="54"/>
      <c r="C16" s="40"/>
      <c r="D16" s="40"/>
      <c r="E16" s="42"/>
      <c r="F16" s="43" t="str">
        <f t="shared" si="24"/>
        <v/>
      </c>
      <c r="G16" s="44"/>
      <c r="H16" s="44"/>
      <c r="I16" s="44"/>
      <c r="J16" s="44"/>
      <c r="K16" s="44"/>
      <c r="L16" s="44"/>
      <c r="M16" s="44"/>
      <c r="N16" s="44"/>
      <c r="O16" s="44"/>
      <c r="P16" s="44"/>
      <c r="R16" s="45"/>
      <c r="S16" s="45"/>
      <c r="T16" s="45"/>
      <c r="U16" s="45"/>
      <c r="V16" s="45"/>
      <c r="W16" s="27">
        <f>IF(R16="ND",0,R16*R$3/MAX(Datas!$A$3:$A$6))</f>
        <v>0</v>
      </c>
      <c r="X16" s="27">
        <f>IF(S16="ND",0,S16*S$3/MAX(Datas!$A$3:$A$6))</f>
        <v>0</v>
      </c>
      <c r="Y16" s="27">
        <f>IF(T16="ND",0,T16*T$3/MAX(Datas!$A$3:$A$6))</f>
        <v>0</v>
      </c>
      <c r="Z16" s="27">
        <f>IF(U16="ND",0,U16*U$3/MAX(Datas!$A$3:$A$6))</f>
        <v>0</v>
      </c>
      <c r="AA16" s="27">
        <f>IF(V16="ND",0,V16*V$3/MAX(Datas!$A$3:$A$6))</f>
        <v>0</v>
      </c>
      <c r="AB16" s="28" t="str">
        <f t="shared" si="1"/>
        <v/>
      </c>
      <c r="AC16" s="46"/>
      <c r="AE16" s="47"/>
      <c r="AF16" s="47"/>
      <c r="AG16" s="47"/>
      <c r="AH16" s="47"/>
      <c r="AI16" s="47"/>
      <c r="AJ16" s="48">
        <f t="shared" ref="AJ16:AO16" si="25">AJ15</f>
        <v>0</v>
      </c>
      <c r="AK16" s="48">
        <f t="shared" si="25"/>
        <v>0</v>
      </c>
      <c r="AL16" s="48">
        <f t="shared" si="25"/>
        <v>0</v>
      </c>
      <c r="AM16" s="48">
        <f t="shared" si="25"/>
        <v>0</v>
      </c>
      <c r="AN16" s="48">
        <f t="shared" si="25"/>
        <v>0</v>
      </c>
      <c r="AO16" s="49" t="str">
        <f t="shared" si="25"/>
        <v/>
      </c>
      <c r="AP16" s="50" t="str">
        <f t="shared" si="26"/>
        <v/>
      </c>
      <c r="AQ16" s="34" t="str">
        <f>IF(A16="x",(AB16+(AO14*2))/3,"")</f>
        <v/>
      </c>
      <c r="AR16" s="51"/>
      <c r="AS16" s="51"/>
      <c r="AT16" s="52" t="str">
        <f t="shared" ref="AT16:AU16" si="27">IF(AT15="","",AT15)</f>
        <v/>
      </c>
      <c r="AU16" s="53" t="str">
        <f t="shared" si="27"/>
        <v/>
      </c>
    </row>
    <row r="17">
      <c r="A17" s="38"/>
      <c r="B17" s="54"/>
      <c r="C17" s="40"/>
      <c r="D17" s="40"/>
      <c r="E17" s="42"/>
      <c r="F17" s="43" t="str">
        <f t="shared" si="24"/>
        <v/>
      </c>
      <c r="G17" s="44"/>
      <c r="H17" s="44"/>
      <c r="I17" s="44"/>
      <c r="J17" s="44"/>
      <c r="K17" s="44"/>
      <c r="L17" s="44"/>
      <c r="M17" s="44"/>
      <c r="N17" s="44"/>
      <c r="O17" s="44"/>
      <c r="P17" s="44"/>
      <c r="R17" s="45"/>
      <c r="S17" s="45"/>
      <c r="T17" s="45"/>
      <c r="U17" s="45"/>
      <c r="V17" s="45"/>
      <c r="W17" s="27">
        <f>IF(R17="ND",0,R17*R$3/MAX(Datas!$A$3:$A$6))</f>
        <v>0</v>
      </c>
      <c r="X17" s="27">
        <f>IF(S17="ND",0,S17*S$3/MAX(Datas!$A$3:$A$6))</f>
        <v>0</v>
      </c>
      <c r="Y17" s="27">
        <f>IF(T17="ND",0,T17*T$3/MAX(Datas!$A$3:$A$6))</f>
        <v>0</v>
      </c>
      <c r="Z17" s="27">
        <f>IF(U17="ND",0,U17*U$3/MAX(Datas!$A$3:$A$6))</f>
        <v>0</v>
      </c>
      <c r="AA17" s="27">
        <f>IF(V17="ND",0,V17*V$3/MAX(Datas!$A$3:$A$6))</f>
        <v>0</v>
      </c>
      <c r="AB17" s="28" t="str">
        <f t="shared" si="1"/>
        <v/>
      </c>
      <c r="AC17" s="46"/>
      <c r="AE17" s="47"/>
      <c r="AF17" s="47"/>
      <c r="AG17" s="47"/>
      <c r="AH17" s="47"/>
      <c r="AI17" s="47"/>
      <c r="AJ17" s="48">
        <f t="shared" ref="AJ17:AO17" si="28">AJ16</f>
        <v>0</v>
      </c>
      <c r="AK17" s="48">
        <f t="shared" si="28"/>
        <v>0</v>
      </c>
      <c r="AL17" s="48">
        <f t="shared" si="28"/>
        <v>0</v>
      </c>
      <c r="AM17" s="48">
        <f t="shared" si="28"/>
        <v>0</v>
      </c>
      <c r="AN17" s="48">
        <f t="shared" si="28"/>
        <v>0</v>
      </c>
      <c r="AO17" s="49" t="str">
        <f t="shared" si="28"/>
        <v/>
      </c>
      <c r="AP17" s="50" t="str">
        <f t="shared" si="26"/>
        <v/>
      </c>
      <c r="AQ17" s="34" t="str">
        <f>IF(A17="x",(AB17+(AO14*2))/3,"")</f>
        <v/>
      </c>
      <c r="AR17" s="51"/>
      <c r="AS17" s="51"/>
      <c r="AT17" s="52" t="str">
        <f t="shared" ref="AT17:AU17" si="29">IF(AT16="","",AT16)</f>
        <v/>
      </c>
      <c r="AU17" s="53" t="str">
        <f t="shared" si="29"/>
        <v/>
      </c>
    </row>
    <row r="18">
      <c r="A18" s="55"/>
      <c r="B18" s="56"/>
      <c r="C18" s="57"/>
      <c r="D18" s="57"/>
      <c r="E18" s="58"/>
      <c r="F18" s="59" t="str">
        <f t="shared" si="24"/>
        <v/>
      </c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13"/>
      <c r="R18" s="61"/>
      <c r="S18" s="61"/>
      <c r="T18" s="61"/>
      <c r="U18" s="61"/>
      <c r="V18" s="61"/>
      <c r="W18" s="62">
        <f>IF(R18="ND",0,R18*R$3/MAX(Datas!$A$3:$A$6))</f>
        <v>0</v>
      </c>
      <c r="X18" s="62">
        <f>IF(S18="ND",0,S18*S$3/MAX(Datas!$A$3:$A$6))</f>
        <v>0</v>
      </c>
      <c r="Y18" s="62">
        <f>IF(T18="ND",0,T18*T$3/MAX(Datas!$A$3:$A$6))</f>
        <v>0</v>
      </c>
      <c r="Z18" s="62">
        <f>IF(U18="ND",0,U18*U$3/MAX(Datas!$A$3:$A$6))</f>
        <v>0</v>
      </c>
      <c r="AA18" s="62">
        <f>IF(V18="ND",0,V18*V$3/MAX(Datas!$A$3:$A$6))</f>
        <v>0</v>
      </c>
      <c r="AB18" s="63" t="str">
        <f t="shared" si="1"/>
        <v/>
      </c>
      <c r="AC18" s="64"/>
      <c r="AD18" s="13"/>
      <c r="AE18" s="80"/>
      <c r="AF18" s="80"/>
      <c r="AG18" s="80"/>
      <c r="AH18" s="80"/>
      <c r="AI18" s="80"/>
      <c r="AJ18" s="81">
        <f t="shared" ref="AJ18:AO18" si="30">AJ17</f>
        <v>0</v>
      </c>
      <c r="AK18" s="81">
        <f t="shared" si="30"/>
        <v>0</v>
      </c>
      <c r="AL18" s="81">
        <f t="shared" si="30"/>
        <v>0</v>
      </c>
      <c r="AM18" s="81">
        <f t="shared" si="30"/>
        <v>0</v>
      </c>
      <c r="AN18" s="81">
        <f t="shared" si="30"/>
        <v>0</v>
      </c>
      <c r="AO18" s="82" t="str">
        <f t="shared" si="30"/>
        <v/>
      </c>
      <c r="AP18" s="83" t="str">
        <f t="shared" si="26"/>
        <v/>
      </c>
      <c r="AQ18" s="69" t="str">
        <f>IF(A18="x",(AB18+(AO14*2))/3,"")</f>
        <v/>
      </c>
      <c r="AR18" s="70"/>
      <c r="AS18" s="70"/>
      <c r="AT18" s="71" t="str">
        <f t="shared" ref="AT18:AU18" si="31">IF(AT17="","",AT17)</f>
        <v/>
      </c>
      <c r="AU18" s="72" t="str">
        <f t="shared" si="31"/>
        <v/>
      </c>
    </row>
    <row r="19">
      <c r="A19" s="19"/>
      <c r="B19" s="73"/>
      <c r="C19" s="74"/>
      <c r="D19" s="75"/>
      <c r="E19" s="76"/>
      <c r="F19" s="24"/>
      <c r="G19" s="77"/>
      <c r="H19" s="77"/>
      <c r="I19" s="77"/>
      <c r="J19" s="77"/>
      <c r="K19" s="77"/>
      <c r="L19" s="77"/>
      <c r="M19" s="77"/>
      <c r="N19" s="77"/>
      <c r="O19" s="77"/>
      <c r="P19" s="77"/>
      <c r="R19" s="26"/>
      <c r="S19" s="26"/>
      <c r="T19" s="26"/>
      <c r="U19" s="26"/>
      <c r="V19" s="26"/>
      <c r="W19" s="27">
        <f>IF(R19="ND",0,R19*R$3/MAX(Datas!$A$3:$A$6))</f>
        <v>0</v>
      </c>
      <c r="X19" s="27">
        <f>IF(S19="ND",0,S19*S$3/MAX(Datas!$A$3:$A$6))</f>
        <v>0</v>
      </c>
      <c r="Y19" s="27">
        <f>IF(T19="ND",0,T19*T$3/MAX(Datas!$A$3:$A$6))</f>
        <v>0</v>
      </c>
      <c r="Z19" s="27">
        <f>IF(U19="ND",0,U19*U$3/MAX(Datas!$A$3:$A$6))</f>
        <v>0</v>
      </c>
      <c r="AA19" s="27">
        <f>IF(V19="ND",0,V19*V$3/MAX(Datas!$A$3:$A$6))</f>
        <v>0</v>
      </c>
      <c r="AB19" s="28" t="str">
        <f t="shared" si="1"/>
        <v/>
      </c>
      <c r="AC19" s="78"/>
      <c r="AE19" s="30"/>
      <c r="AF19" s="30"/>
      <c r="AG19" s="30"/>
      <c r="AH19" s="30"/>
      <c r="AI19" s="30"/>
      <c r="AJ19" s="31">
        <f>IF(AE19="ND",0,AE19*AE$3/MAX(Datas!$A$3:$A$6))</f>
        <v>0</v>
      </c>
      <c r="AK19" s="31">
        <f>IF(AF19="ND",0,AF19*AF$3/MAX(Datas!$A$3:$A$6))</f>
        <v>0</v>
      </c>
      <c r="AL19" s="31">
        <f>IF(AG19="ND",0,AG19*AG$3/MAX(Datas!$A$3:$A$6))</f>
        <v>0</v>
      </c>
      <c r="AM19" s="31">
        <f>IF(AH19="ND",0,AH19*AH$3/MAX(Datas!$A$3:$A$6))</f>
        <v>0</v>
      </c>
      <c r="AN19" s="31">
        <f>IF(AI19="ND",0,AI19*AI$3/MAX(Datas!$A$3:$A$6))</f>
        <v>0</v>
      </c>
      <c r="AO19" s="32" t="str">
        <f>IF(COUNTIF(A19:A23,"x")&gt;0,SUM(AJ19:AN19),"")</f>
        <v/>
      </c>
      <c r="AP19" s="33"/>
      <c r="AQ19" s="34" t="str">
        <f>IF(A19="x",(AB19+(AO19*2))/3,"")</f>
        <v/>
      </c>
      <c r="AR19" s="79"/>
      <c r="AS19" s="79"/>
      <c r="AT19" s="36"/>
      <c r="AU19" s="37"/>
    </row>
    <row r="20">
      <c r="A20" s="38"/>
      <c r="B20" s="54"/>
      <c r="C20" s="40"/>
      <c r="D20" s="41"/>
      <c r="E20" s="42"/>
      <c r="F20" s="43" t="str">
        <f t="shared" ref="F20:F23" si="34">IF(F19="","",F19)</f>
        <v/>
      </c>
      <c r="G20" s="44"/>
      <c r="H20" s="44"/>
      <c r="I20" s="44"/>
      <c r="J20" s="44"/>
      <c r="K20" s="44"/>
      <c r="L20" s="44"/>
      <c r="M20" s="44"/>
      <c r="N20" s="44"/>
      <c r="O20" s="44"/>
      <c r="P20" s="44"/>
      <c r="R20" s="45"/>
      <c r="S20" s="45"/>
      <c r="T20" s="45"/>
      <c r="U20" s="45"/>
      <c r="V20" s="45"/>
      <c r="W20" s="27">
        <f>IF(R20="ND",0,R20*R$3/MAX(Datas!$A$3:$A$6))</f>
        <v>0</v>
      </c>
      <c r="X20" s="27">
        <f>IF(S20="ND",0,S20*S$3/MAX(Datas!$A$3:$A$6))</f>
        <v>0</v>
      </c>
      <c r="Y20" s="27">
        <f>IF(T20="ND",0,T20*T$3/MAX(Datas!$A$3:$A$6))</f>
        <v>0</v>
      </c>
      <c r="Z20" s="27">
        <f>IF(U20="ND",0,U20*U$3/MAX(Datas!$A$3:$A$6))</f>
        <v>0</v>
      </c>
      <c r="AA20" s="27">
        <f>IF(V20="ND",0,V20*V$3/MAX(Datas!$A$3:$A$6))</f>
        <v>0</v>
      </c>
      <c r="AB20" s="28" t="str">
        <f t="shared" si="1"/>
        <v/>
      </c>
      <c r="AC20" s="46"/>
      <c r="AE20" s="47"/>
      <c r="AF20" s="47"/>
      <c r="AG20" s="47"/>
      <c r="AH20" s="47"/>
      <c r="AI20" s="47"/>
      <c r="AJ20" s="48">
        <f t="shared" ref="AJ20:AO20" si="32">AJ19</f>
        <v>0</v>
      </c>
      <c r="AK20" s="48">
        <f t="shared" si="32"/>
        <v>0</v>
      </c>
      <c r="AL20" s="48">
        <f t="shared" si="32"/>
        <v>0</v>
      </c>
      <c r="AM20" s="48">
        <f t="shared" si="32"/>
        <v>0</v>
      </c>
      <c r="AN20" s="48">
        <f t="shared" si="32"/>
        <v>0</v>
      </c>
      <c r="AO20" s="49" t="str">
        <f t="shared" si="32"/>
        <v/>
      </c>
      <c r="AP20" s="50" t="str">
        <f t="shared" ref="AP20:AP23" si="36">IF(AP19="","",AP19)</f>
        <v/>
      </c>
      <c r="AQ20" s="34" t="str">
        <f>IF(A20="x",(AB20+(AO19*2))/3,"")</f>
        <v/>
      </c>
      <c r="AR20" s="51"/>
      <c r="AS20" s="51"/>
      <c r="AT20" s="52" t="str">
        <f t="shared" ref="AT20:AU20" si="33">IF(AT19="","",AT19)</f>
        <v/>
      </c>
      <c r="AU20" s="53" t="str">
        <f t="shared" si="33"/>
        <v/>
      </c>
    </row>
    <row r="21" ht="15.75" customHeight="1">
      <c r="A21" s="38"/>
      <c r="B21" s="54"/>
      <c r="C21" s="40"/>
      <c r="D21" s="40"/>
      <c r="E21" s="42"/>
      <c r="F21" s="43" t="str">
        <f t="shared" si="34"/>
        <v/>
      </c>
      <c r="G21" s="44"/>
      <c r="H21" s="44"/>
      <c r="I21" s="44"/>
      <c r="J21" s="44"/>
      <c r="K21" s="44"/>
      <c r="L21" s="44"/>
      <c r="M21" s="44"/>
      <c r="N21" s="44"/>
      <c r="O21" s="44"/>
      <c r="P21" s="44"/>
      <c r="R21" s="45"/>
      <c r="S21" s="45"/>
      <c r="T21" s="45"/>
      <c r="U21" s="45"/>
      <c r="V21" s="45"/>
      <c r="W21" s="27">
        <f>IF(R21="ND",0,R21*R$3/MAX(Datas!$A$3:$A$6))</f>
        <v>0</v>
      </c>
      <c r="X21" s="27">
        <f>IF(S21="ND",0,S21*S$3/MAX(Datas!$A$3:$A$6))</f>
        <v>0</v>
      </c>
      <c r="Y21" s="27">
        <f>IF(T21="ND",0,T21*T$3/MAX(Datas!$A$3:$A$6))</f>
        <v>0</v>
      </c>
      <c r="Z21" s="27">
        <f>IF(U21="ND",0,U21*U$3/MAX(Datas!$A$3:$A$6))</f>
        <v>0</v>
      </c>
      <c r="AA21" s="27">
        <f>IF(V21="ND",0,V21*V$3/MAX(Datas!$A$3:$A$6))</f>
        <v>0</v>
      </c>
      <c r="AB21" s="28" t="str">
        <f t="shared" si="1"/>
        <v/>
      </c>
      <c r="AC21" s="46"/>
      <c r="AE21" s="47"/>
      <c r="AF21" s="47"/>
      <c r="AG21" s="47"/>
      <c r="AH21" s="47"/>
      <c r="AI21" s="47"/>
      <c r="AJ21" s="48">
        <f t="shared" ref="AJ21:AO21" si="35">AJ20</f>
        <v>0</v>
      </c>
      <c r="AK21" s="48">
        <f t="shared" si="35"/>
        <v>0</v>
      </c>
      <c r="AL21" s="48">
        <f t="shared" si="35"/>
        <v>0</v>
      </c>
      <c r="AM21" s="48">
        <f t="shared" si="35"/>
        <v>0</v>
      </c>
      <c r="AN21" s="48">
        <f t="shared" si="35"/>
        <v>0</v>
      </c>
      <c r="AO21" s="49" t="str">
        <f t="shared" si="35"/>
        <v/>
      </c>
      <c r="AP21" s="50" t="str">
        <f t="shared" si="36"/>
        <v/>
      </c>
      <c r="AQ21" s="34" t="str">
        <f>IF(A21="x",(AB21+(AO19*2))/3,"")</f>
        <v/>
      </c>
      <c r="AR21" s="51"/>
      <c r="AS21" s="51"/>
      <c r="AT21" s="52" t="str">
        <f t="shared" ref="AT21:AU21" si="37">IF(AT20="","",AT20)</f>
        <v/>
      </c>
      <c r="AU21" s="53" t="str">
        <f t="shared" si="37"/>
        <v/>
      </c>
    </row>
    <row r="22" ht="15.75" customHeight="1">
      <c r="A22" s="38"/>
      <c r="B22" s="54"/>
      <c r="C22" s="40"/>
      <c r="D22" s="40"/>
      <c r="E22" s="42"/>
      <c r="F22" s="43" t="str">
        <f t="shared" si="34"/>
        <v/>
      </c>
      <c r="G22" s="44"/>
      <c r="H22" s="44"/>
      <c r="I22" s="44"/>
      <c r="J22" s="44"/>
      <c r="K22" s="44"/>
      <c r="L22" s="44"/>
      <c r="M22" s="44"/>
      <c r="N22" s="44"/>
      <c r="O22" s="44"/>
      <c r="P22" s="44"/>
      <c r="R22" s="45"/>
      <c r="S22" s="45"/>
      <c r="T22" s="45"/>
      <c r="U22" s="45"/>
      <c r="V22" s="45"/>
      <c r="W22" s="27">
        <f>IF(R22="ND",0,R22*R$3/MAX(Datas!$A$3:$A$6))</f>
        <v>0</v>
      </c>
      <c r="X22" s="27">
        <f>IF(S22="ND",0,S22*S$3/MAX(Datas!$A$3:$A$6))</f>
        <v>0</v>
      </c>
      <c r="Y22" s="27">
        <f>IF(T22="ND",0,T22*T$3/MAX(Datas!$A$3:$A$6))</f>
        <v>0</v>
      </c>
      <c r="Z22" s="27">
        <f>IF(U22="ND",0,U22*U$3/MAX(Datas!$A$3:$A$6))</f>
        <v>0</v>
      </c>
      <c r="AA22" s="27">
        <f>IF(V22="ND",0,V22*V$3/MAX(Datas!$A$3:$A$6))</f>
        <v>0</v>
      </c>
      <c r="AB22" s="28" t="str">
        <f t="shared" si="1"/>
        <v/>
      </c>
      <c r="AC22" s="46"/>
      <c r="AE22" s="47"/>
      <c r="AF22" s="47"/>
      <c r="AG22" s="47"/>
      <c r="AH22" s="47"/>
      <c r="AI22" s="47"/>
      <c r="AJ22" s="48">
        <f t="shared" ref="AJ22:AO22" si="38">AJ21</f>
        <v>0</v>
      </c>
      <c r="AK22" s="48">
        <f t="shared" si="38"/>
        <v>0</v>
      </c>
      <c r="AL22" s="48">
        <f t="shared" si="38"/>
        <v>0</v>
      </c>
      <c r="AM22" s="48">
        <f t="shared" si="38"/>
        <v>0</v>
      </c>
      <c r="AN22" s="48">
        <f t="shared" si="38"/>
        <v>0</v>
      </c>
      <c r="AO22" s="49" t="str">
        <f t="shared" si="38"/>
        <v/>
      </c>
      <c r="AP22" s="50" t="str">
        <f t="shared" si="36"/>
        <v/>
      </c>
      <c r="AQ22" s="34" t="str">
        <f>IF(A22="x",(AB22+(AO19*2))/3,"")</f>
        <v/>
      </c>
      <c r="AR22" s="51"/>
      <c r="AS22" s="51"/>
      <c r="AT22" s="52" t="str">
        <f t="shared" ref="AT22:AU22" si="39">IF(AT21="","",AT21)</f>
        <v/>
      </c>
      <c r="AU22" s="53" t="str">
        <f t="shared" si="39"/>
        <v/>
      </c>
    </row>
    <row r="23" ht="15.75" customHeight="1">
      <c r="A23" s="55"/>
      <c r="B23" s="56"/>
      <c r="C23" s="57"/>
      <c r="D23" s="57"/>
      <c r="E23" s="58"/>
      <c r="F23" s="59" t="str">
        <f t="shared" si="34"/>
        <v/>
      </c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13"/>
      <c r="R23" s="61"/>
      <c r="S23" s="61"/>
      <c r="T23" s="61"/>
      <c r="U23" s="61"/>
      <c r="V23" s="61"/>
      <c r="W23" s="62">
        <f>IF(R23="ND",0,R23*R$3/MAX(Datas!$A$3:$A$6))</f>
        <v>0</v>
      </c>
      <c r="X23" s="62">
        <f>IF(S23="ND",0,S23*S$3/MAX(Datas!$A$3:$A$6))</f>
        <v>0</v>
      </c>
      <c r="Y23" s="62">
        <f>IF(T23="ND",0,T23*T$3/MAX(Datas!$A$3:$A$6))</f>
        <v>0</v>
      </c>
      <c r="Z23" s="62">
        <f>IF(U23="ND",0,U23*U$3/MAX(Datas!$A$3:$A$6))</f>
        <v>0</v>
      </c>
      <c r="AA23" s="62">
        <f>IF(V23="ND",0,V23*V$3/MAX(Datas!$A$3:$A$6))</f>
        <v>0</v>
      </c>
      <c r="AB23" s="63" t="str">
        <f t="shared" si="1"/>
        <v/>
      </c>
      <c r="AC23" s="64"/>
      <c r="AD23" s="13"/>
      <c r="AE23" s="80"/>
      <c r="AF23" s="80"/>
      <c r="AG23" s="80"/>
      <c r="AH23" s="80"/>
      <c r="AI23" s="80"/>
      <c r="AJ23" s="81">
        <f t="shared" ref="AJ23:AO23" si="40">AJ22</f>
        <v>0</v>
      </c>
      <c r="AK23" s="81">
        <f t="shared" si="40"/>
        <v>0</v>
      </c>
      <c r="AL23" s="81">
        <f t="shared" si="40"/>
        <v>0</v>
      </c>
      <c r="AM23" s="81">
        <f t="shared" si="40"/>
        <v>0</v>
      </c>
      <c r="AN23" s="81">
        <f t="shared" si="40"/>
        <v>0</v>
      </c>
      <c r="AO23" s="82" t="str">
        <f t="shared" si="40"/>
        <v/>
      </c>
      <c r="AP23" s="83" t="str">
        <f t="shared" si="36"/>
        <v/>
      </c>
      <c r="AQ23" s="69" t="str">
        <f>IF(A23="x",(AB23+(AO19*2))/3,"")</f>
        <v/>
      </c>
      <c r="AR23" s="70"/>
      <c r="AS23" s="70"/>
      <c r="AT23" s="71" t="str">
        <f t="shared" ref="AT23:AU23" si="41">IF(AT22="","",AT22)</f>
        <v/>
      </c>
      <c r="AU23" s="72" t="str">
        <f t="shared" si="41"/>
        <v/>
      </c>
    </row>
    <row r="24" ht="15.75" customHeight="1"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R24" s="3"/>
      <c r="S24" s="3"/>
      <c r="T24" s="3"/>
      <c r="U24" s="3"/>
      <c r="V24" s="3"/>
      <c r="W24" s="3"/>
      <c r="X24" s="3"/>
      <c r="Y24" s="3"/>
      <c r="Z24" s="3"/>
      <c r="AA24" s="3"/>
      <c r="AC24" s="9"/>
      <c r="AE24" s="3"/>
      <c r="AF24" s="3"/>
      <c r="AG24" s="3"/>
      <c r="AH24" s="3"/>
      <c r="AI24" s="3"/>
      <c r="AP24" s="9"/>
    </row>
    <row r="25" ht="15.75" customHeight="1"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R25" s="3"/>
      <c r="S25" s="3"/>
      <c r="T25" s="3"/>
      <c r="U25" s="3"/>
      <c r="V25" s="3"/>
      <c r="W25" s="3"/>
      <c r="X25" s="3"/>
      <c r="Y25" s="3"/>
      <c r="Z25" s="3"/>
      <c r="AA25" s="3"/>
      <c r="AC25" s="9"/>
      <c r="AE25" s="3"/>
      <c r="AF25" s="3"/>
      <c r="AG25" s="3"/>
      <c r="AH25" s="3"/>
      <c r="AI25" s="3"/>
      <c r="AP25" s="9"/>
    </row>
    <row r="26" ht="15.75" customHeight="1"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R26" s="3"/>
      <c r="S26" s="3"/>
      <c r="T26" s="3"/>
      <c r="U26" s="3"/>
      <c r="V26" s="3"/>
      <c r="W26" s="3"/>
      <c r="X26" s="3"/>
      <c r="Y26" s="3"/>
      <c r="Z26" s="3"/>
      <c r="AA26" s="3"/>
      <c r="AC26" s="9"/>
      <c r="AE26" s="3"/>
      <c r="AF26" s="3"/>
      <c r="AG26" s="3"/>
      <c r="AH26" s="3"/>
      <c r="AI26" s="3"/>
      <c r="AP26" s="9"/>
    </row>
    <row r="27" ht="15.75" customHeight="1"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R27" s="3"/>
      <c r="S27" s="3"/>
      <c r="T27" s="3"/>
      <c r="U27" s="3"/>
      <c r="V27" s="3"/>
      <c r="W27" s="3"/>
      <c r="X27" s="3"/>
      <c r="Y27" s="3"/>
      <c r="Z27" s="3"/>
      <c r="AA27" s="3"/>
      <c r="AC27" s="9"/>
      <c r="AE27" s="3"/>
      <c r="AF27" s="3"/>
      <c r="AG27" s="3"/>
      <c r="AH27" s="3"/>
      <c r="AI27" s="3"/>
      <c r="AP27" s="9"/>
    </row>
    <row r="28" ht="15.75" customHeight="1"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R28" s="3"/>
      <c r="S28" s="3"/>
      <c r="T28" s="3"/>
      <c r="U28" s="3"/>
      <c r="V28" s="3"/>
      <c r="W28" s="3"/>
      <c r="X28" s="3"/>
      <c r="Y28" s="3"/>
      <c r="Z28" s="3"/>
      <c r="AA28" s="3"/>
      <c r="AC28" s="9"/>
      <c r="AE28" s="3"/>
      <c r="AF28" s="3"/>
      <c r="AG28" s="3"/>
      <c r="AH28" s="3"/>
      <c r="AI28" s="3"/>
      <c r="AP28" s="9"/>
    </row>
    <row r="29" ht="15.75" customHeight="1"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R29" s="3"/>
      <c r="S29" s="3"/>
      <c r="T29" s="3"/>
      <c r="U29" s="3"/>
      <c r="V29" s="3"/>
      <c r="W29" s="3"/>
      <c r="X29" s="3"/>
      <c r="Y29" s="3"/>
      <c r="Z29" s="3"/>
      <c r="AA29" s="3"/>
      <c r="AC29" s="9"/>
      <c r="AE29" s="3"/>
      <c r="AF29" s="3"/>
      <c r="AG29" s="3"/>
      <c r="AH29" s="3"/>
      <c r="AI29" s="3"/>
      <c r="AP29" s="9"/>
    </row>
    <row r="30" ht="15.75" customHeight="1"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R30" s="3"/>
      <c r="S30" s="3"/>
      <c r="T30" s="3"/>
      <c r="U30" s="3"/>
      <c r="V30" s="3"/>
      <c r="W30" s="3"/>
      <c r="X30" s="3"/>
      <c r="Y30" s="3"/>
      <c r="Z30" s="3"/>
      <c r="AA30" s="3"/>
      <c r="AC30" s="9"/>
      <c r="AE30" s="3"/>
      <c r="AF30" s="3"/>
      <c r="AG30" s="3"/>
      <c r="AH30" s="3"/>
      <c r="AI30" s="3"/>
      <c r="AP30" s="9"/>
    </row>
    <row r="31" ht="15.75" customHeight="1"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R31" s="3"/>
      <c r="S31" s="3"/>
      <c r="T31" s="3"/>
      <c r="U31" s="3"/>
      <c r="V31" s="3"/>
      <c r="W31" s="3"/>
      <c r="X31" s="3"/>
      <c r="Y31" s="3"/>
      <c r="Z31" s="3"/>
      <c r="AA31" s="3"/>
      <c r="AC31" s="9"/>
      <c r="AE31" s="3"/>
      <c r="AF31" s="3"/>
      <c r="AG31" s="3"/>
      <c r="AH31" s="3"/>
      <c r="AI31" s="3"/>
      <c r="AP31" s="9"/>
    </row>
    <row r="32" ht="15.75" customHeight="1"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R32" s="3"/>
      <c r="S32" s="3"/>
      <c r="T32" s="3"/>
      <c r="U32" s="3"/>
      <c r="V32" s="3"/>
      <c r="W32" s="3"/>
      <c r="X32" s="3"/>
      <c r="Y32" s="3"/>
      <c r="Z32" s="3"/>
      <c r="AA32" s="3"/>
      <c r="AC32" s="9"/>
      <c r="AE32" s="3"/>
      <c r="AF32" s="3"/>
      <c r="AG32" s="3"/>
      <c r="AH32" s="3"/>
      <c r="AI32" s="3"/>
      <c r="AP32" s="9"/>
    </row>
    <row r="33" ht="15.75" customHeight="1"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R33" s="3"/>
      <c r="S33" s="3"/>
      <c r="T33" s="3"/>
      <c r="U33" s="3"/>
      <c r="V33" s="3"/>
      <c r="W33" s="3"/>
      <c r="X33" s="3"/>
      <c r="Y33" s="3"/>
      <c r="Z33" s="3"/>
      <c r="AA33" s="3"/>
      <c r="AC33" s="9"/>
      <c r="AE33" s="3"/>
      <c r="AF33" s="3"/>
      <c r="AG33" s="3"/>
      <c r="AH33" s="3"/>
      <c r="AI33" s="3"/>
      <c r="AP33" s="9"/>
    </row>
    <row r="34" ht="15.75" customHeight="1"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R34" s="3"/>
      <c r="S34" s="3"/>
      <c r="T34" s="3"/>
      <c r="U34" s="3"/>
      <c r="V34" s="3"/>
      <c r="W34" s="3"/>
      <c r="X34" s="3"/>
      <c r="Y34" s="3"/>
      <c r="Z34" s="3"/>
      <c r="AA34" s="3"/>
      <c r="AC34" s="9"/>
      <c r="AE34" s="3"/>
      <c r="AF34" s="3"/>
      <c r="AG34" s="3"/>
      <c r="AH34" s="3"/>
      <c r="AI34" s="3"/>
      <c r="AP34" s="9"/>
    </row>
    <row r="35" ht="15.75" customHeight="1"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R35" s="3"/>
      <c r="S35" s="3"/>
      <c r="T35" s="3"/>
      <c r="U35" s="3"/>
      <c r="V35" s="3"/>
      <c r="W35" s="3"/>
      <c r="X35" s="3"/>
      <c r="Y35" s="3"/>
      <c r="Z35" s="3"/>
      <c r="AA35" s="3"/>
      <c r="AC35" s="9"/>
      <c r="AE35" s="3"/>
      <c r="AF35" s="3"/>
      <c r="AG35" s="3"/>
      <c r="AH35" s="3"/>
      <c r="AI35" s="3"/>
      <c r="AP35" s="9"/>
    </row>
    <row r="36" ht="15.75" customHeight="1"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R36" s="3"/>
      <c r="S36" s="3"/>
      <c r="T36" s="3"/>
      <c r="U36" s="3"/>
      <c r="V36" s="3"/>
      <c r="W36" s="3"/>
      <c r="X36" s="3"/>
      <c r="Y36" s="3"/>
      <c r="Z36" s="3"/>
      <c r="AA36" s="3"/>
      <c r="AC36" s="9"/>
      <c r="AE36" s="3"/>
      <c r="AF36" s="3"/>
      <c r="AG36" s="3"/>
      <c r="AH36" s="3"/>
      <c r="AI36" s="3"/>
      <c r="AP36" s="9"/>
    </row>
    <row r="37" ht="15.75" customHeight="1"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R37" s="3"/>
      <c r="S37" s="3"/>
      <c r="T37" s="3"/>
      <c r="U37" s="3"/>
      <c r="V37" s="3"/>
      <c r="W37" s="3"/>
      <c r="X37" s="3"/>
      <c r="Y37" s="3"/>
      <c r="Z37" s="3"/>
      <c r="AA37" s="3"/>
      <c r="AC37" s="9"/>
      <c r="AE37" s="3"/>
      <c r="AF37" s="3"/>
      <c r="AG37" s="3"/>
      <c r="AH37" s="3"/>
      <c r="AI37" s="3"/>
      <c r="AP37" s="9"/>
    </row>
    <row r="38" ht="15.75" customHeight="1"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R38" s="3"/>
      <c r="S38" s="3"/>
      <c r="T38" s="3"/>
      <c r="U38" s="3"/>
      <c r="V38" s="3"/>
      <c r="W38" s="3"/>
      <c r="X38" s="3"/>
      <c r="Y38" s="3"/>
      <c r="Z38" s="3"/>
      <c r="AA38" s="3"/>
      <c r="AC38" s="9"/>
      <c r="AE38" s="3"/>
      <c r="AF38" s="3"/>
      <c r="AG38" s="3"/>
      <c r="AH38" s="3"/>
      <c r="AI38" s="3"/>
      <c r="AP38" s="9"/>
    </row>
    <row r="39" ht="15.75" customHeight="1"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R39" s="3"/>
      <c r="S39" s="3"/>
      <c r="T39" s="3"/>
      <c r="U39" s="3"/>
      <c r="V39" s="3"/>
      <c r="W39" s="3"/>
      <c r="X39" s="3"/>
      <c r="Y39" s="3"/>
      <c r="Z39" s="3"/>
      <c r="AA39" s="3"/>
      <c r="AC39" s="9"/>
      <c r="AE39" s="3"/>
      <c r="AF39" s="3"/>
      <c r="AG39" s="3"/>
      <c r="AH39" s="3"/>
      <c r="AI39" s="3"/>
      <c r="AP39" s="9"/>
    </row>
    <row r="40" ht="15.75" customHeight="1"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R40" s="3"/>
      <c r="S40" s="3"/>
      <c r="T40" s="3"/>
      <c r="U40" s="3"/>
      <c r="V40" s="3"/>
      <c r="W40" s="3"/>
      <c r="X40" s="3"/>
      <c r="Y40" s="3"/>
      <c r="Z40" s="3"/>
      <c r="AA40" s="3"/>
      <c r="AC40" s="9"/>
      <c r="AE40" s="3"/>
      <c r="AF40" s="3"/>
      <c r="AG40" s="3"/>
      <c r="AH40" s="3"/>
      <c r="AI40" s="3"/>
      <c r="AP40" s="9"/>
    </row>
    <row r="41" ht="15.75" customHeight="1"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R41" s="3"/>
      <c r="S41" s="3"/>
      <c r="T41" s="3"/>
      <c r="U41" s="3"/>
      <c r="V41" s="3"/>
      <c r="W41" s="3"/>
      <c r="X41" s="3"/>
      <c r="Y41" s="3"/>
      <c r="Z41" s="3"/>
      <c r="AA41" s="3"/>
      <c r="AC41" s="9"/>
      <c r="AE41" s="3"/>
      <c r="AF41" s="3"/>
      <c r="AG41" s="3"/>
      <c r="AH41" s="3"/>
      <c r="AI41" s="3"/>
      <c r="AP41" s="9"/>
    </row>
    <row r="42" ht="15.75" customHeight="1"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R42" s="3"/>
      <c r="S42" s="3"/>
      <c r="T42" s="3"/>
      <c r="U42" s="3"/>
      <c r="V42" s="3"/>
      <c r="W42" s="3"/>
      <c r="X42" s="3"/>
      <c r="Y42" s="3"/>
      <c r="Z42" s="3"/>
      <c r="AA42" s="3"/>
      <c r="AC42" s="9"/>
      <c r="AE42" s="3"/>
      <c r="AF42" s="3"/>
      <c r="AG42" s="3"/>
      <c r="AH42" s="3"/>
      <c r="AI42" s="3"/>
      <c r="AP42" s="9"/>
    </row>
    <row r="43" ht="15.75" customHeight="1"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R43" s="3"/>
      <c r="S43" s="3"/>
      <c r="T43" s="3"/>
      <c r="U43" s="3"/>
      <c r="V43" s="3"/>
      <c r="W43" s="3"/>
      <c r="X43" s="3"/>
      <c r="Y43" s="3"/>
      <c r="Z43" s="3"/>
      <c r="AA43" s="3"/>
      <c r="AC43" s="9"/>
      <c r="AE43" s="3"/>
      <c r="AF43" s="3"/>
      <c r="AG43" s="3"/>
      <c r="AH43" s="3"/>
      <c r="AI43" s="3"/>
      <c r="AP43" s="9"/>
    </row>
    <row r="44" ht="15.75" customHeight="1"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R44" s="3"/>
      <c r="S44" s="3"/>
      <c r="T44" s="3"/>
      <c r="U44" s="3"/>
      <c r="V44" s="3"/>
      <c r="W44" s="3"/>
      <c r="X44" s="3"/>
      <c r="Y44" s="3"/>
      <c r="Z44" s="3"/>
      <c r="AA44" s="3"/>
      <c r="AC44" s="9"/>
      <c r="AE44" s="3"/>
      <c r="AF44" s="3"/>
      <c r="AG44" s="3"/>
      <c r="AH44" s="3"/>
      <c r="AI44" s="3"/>
      <c r="AP44" s="9"/>
    </row>
    <row r="45" ht="15.75" customHeight="1"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R45" s="3"/>
      <c r="S45" s="3"/>
      <c r="T45" s="3"/>
      <c r="U45" s="3"/>
      <c r="V45" s="3"/>
      <c r="W45" s="3"/>
      <c r="X45" s="3"/>
      <c r="Y45" s="3"/>
      <c r="Z45" s="3"/>
      <c r="AA45" s="3"/>
      <c r="AC45" s="9"/>
      <c r="AE45" s="3"/>
      <c r="AF45" s="3"/>
      <c r="AG45" s="3"/>
      <c r="AH45" s="3"/>
      <c r="AI45" s="3"/>
      <c r="AP45" s="9"/>
    </row>
    <row r="46" ht="15.75" customHeight="1"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R46" s="3"/>
      <c r="S46" s="3"/>
      <c r="T46" s="3"/>
      <c r="U46" s="3"/>
      <c r="V46" s="3"/>
      <c r="W46" s="3"/>
      <c r="X46" s="3"/>
      <c r="Y46" s="3"/>
      <c r="Z46" s="3"/>
      <c r="AA46" s="3"/>
      <c r="AC46" s="9"/>
      <c r="AE46" s="3"/>
      <c r="AF46" s="3"/>
      <c r="AG46" s="3"/>
      <c r="AH46" s="3"/>
      <c r="AI46" s="3"/>
      <c r="AP46" s="9"/>
    </row>
    <row r="47" ht="15.75" customHeight="1"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R47" s="3"/>
      <c r="S47" s="3"/>
      <c r="T47" s="3"/>
      <c r="U47" s="3"/>
      <c r="V47" s="3"/>
      <c r="W47" s="3"/>
      <c r="X47" s="3"/>
      <c r="Y47" s="3"/>
      <c r="Z47" s="3"/>
      <c r="AA47" s="3"/>
      <c r="AC47" s="9"/>
      <c r="AE47" s="3"/>
      <c r="AF47" s="3"/>
      <c r="AG47" s="3"/>
      <c r="AH47" s="3"/>
      <c r="AI47" s="3"/>
      <c r="AP47" s="9"/>
    </row>
    <row r="48" ht="15.75" customHeight="1"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R48" s="3"/>
      <c r="S48" s="3"/>
      <c r="T48" s="3"/>
      <c r="U48" s="3"/>
      <c r="V48" s="3"/>
      <c r="W48" s="3"/>
      <c r="X48" s="3"/>
      <c r="Y48" s="3"/>
      <c r="Z48" s="3"/>
      <c r="AA48" s="3"/>
      <c r="AC48" s="9"/>
      <c r="AE48" s="3"/>
      <c r="AF48" s="3"/>
      <c r="AG48" s="3"/>
      <c r="AH48" s="3"/>
      <c r="AI48" s="3"/>
      <c r="AP48" s="9"/>
    </row>
    <row r="49" ht="15.75" customHeight="1"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R49" s="3"/>
      <c r="S49" s="3"/>
      <c r="T49" s="3"/>
      <c r="U49" s="3"/>
      <c r="V49" s="3"/>
      <c r="W49" s="3"/>
      <c r="X49" s="3"/>
      <c r="Y49" s="3"/>
      <c r="Z49" s="3"/>
      <c r="AA49" s="3"/>
      <c r="AC49" s="9"/>
      <c r="AE49" s="3"/>
      <c r="AF49" s="3"/>
      <c r="AG49" s="3"/>
      <c r="AH49" s="3"/>
      <c r="AI49" s="3"/>
      <c r="AP49" s="9"/>
    </row>
    <row r="50" ht="15.75" customHeight="1"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R50" s="3"/>
      <c r="S50" s="3"/>
      <c r="T50" s="3"/>
      <c r="U50" s="3"/>
      <c r="V50" s="3"/>
      <c r="W50" s="3"/>
      <c r="X50" s="3"/>
      <c r="Y50" s="3"/>
      <c r="Z50" s="3"/>
      <c r="AA50" s="3"/>
      <c r="AC50" s="9"/>
      <c r="AE50" s="3"/>
      <c r="AF50" s="3"/>
      <c r="AG50" s="3"/>
      <c r="AH50" s="3"/>
      <c r="AI50" s="3"/>
      <c r="AP50" s="9"/>
    </row>
    <row r="51" ht="15.75" customHeight="1"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R51" s="3"/>
      <c r="S51" s="3"/>
      <c r="T51" s="3"/>
      <c r="U51" s="3"/>
      <c r="V51" s="3"/>
      <c r="W51" s="3"/>
      <c r="X51" s="3"/>
      <c r="Y51" s="3"/>
      <c r="Z51" s="3"/>
      <c r="AA51" s="3"/>
      <c r="AC51" s="9"/>
      <c r="AE51" s="3"/>
      <c r="AF51" s="3"/>
      <c r="AG51" s="3"/>
      <c r="AH51" s="3"/>
      <c r="AI51" s="3"/>
      <c r="AP51" s="9"/>
    </row>
    <row r="52" ht="15.75" customHeight="1"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R52" s="3"/>
      <c r="S52" s="3"/>
      <c r="T52" s="3"/>
      <c r="U52" s="3"/>
      <c r="V52" s="3"/>
      <c r="W52" s="3"/>
      <c r="X52" s="3"/>
      <c r="Y52" s="3"/>
      <c r="Z52" s="3"/>
      <c r="AA52" s="3"/>
      <c r="AC52" s="9"/>
      <c r="AE52" s="3"/>
      <c r="AF52" s="3"/>
      <c r="AG52" s="3"/>
      <c r="AH52" s="3"/>
      <c r="AI52" s="3"/>
      <c r="AP52" s="9"/>
    </row>
    <row r="53" ht="15.75" customHeight="1"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R53" s="3"/>
      <c r="S53" s="3"/>
      <c r="T53" s="3"/>
      <c r="U53" s="3"/>
      <c r="V53" s="3"/>
      <c r="W53" s="3"/>
      <c r="X53" s="3"/>
      <c r="Y53" s="3"/>
      <c r="Z53" s="3"/>
      <c r="AA53" s="3"/>
      <c r="AC53" s="9"/>
      <c r="AE53" s="3"/>
      <c r="AF53" s="3"/>
      <c r="AG53" s="3"/>
      <c r="AH53" s="3"/>
      <c r="AI53" s="3"/>
      <c r="AP53" s="9"/>
    </row>
    <row r="54" ht="15.75" customHeight="1"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R54" s="3"/>
      <c r="S54" s="3"/>
      <c r="T54" s="3"/>
      <c r="U54" s="3"/>
      <c r="V54" s="3"/>
      <c r="W54" s="3"/>
      <c r="X54" s="3"/>
      <c r="Y54" s="3"/>
      <c r="Z54" s="3"/>
      <c r="AA54" s="3"/>
      <c r="AC54" s="9"/>
      <c r="AE54" s="3"/>
      <c r="AF54" s="3"/>
      <c r="AG54" s="3"/>
      <c r="AH54" s="3"/>
      <c r="AI54" s="3"/>
      <c r="AP54" s="9"/>
    </row>
    <row r="55" ht="15.75" customHeight="1"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R55" s="3"/>
      <c r="S55" s="3"/>
      <c r="T55" s="3"/>
      <c r="U55" s="3"/>
      <c r="V55" s="3"/>
      <c r="W55" s="3"/>
      <c r="X55" s="3"/>
      <c r="Y55" s="3"/>
      <c r="Z55" s="3"/>
      <c r="AA55" s="3"/>
      <c r="AC55" s="9"/>
      <c r="AE55" s="3"/>
      <c r="AF55" s="3"/>
      <c r="AG55" s="3"/>
      <c r="AH55" s="3"/>
      <c r="AI55" s="3"/>
      <c r="AP55" s="9"/>
    </row>
    <row r="56" ht="15.75" customHeight="1"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R56" s="3"/>
      <c r="S56" s="3"/>
      <c r="T56" s="3"/>
      <c r="U56" s="3"/>
      <c r="V56" s="3"/>
      <c r="W56" s="3"/>
      <c r="X56" s="3"/>
      <c r="Y56" s="3"/>
      <c r="Z56" s="3"/>
      <c r="AA56" s="3"/>
      <c r="AC56" s="9"/>
      <c r="AE56" s="3"/>
      <c r="AF56" s="3"/>
      <c r="AG56" s="3"/>
      <c r="AH56" s="3"/>
      <c r="AI56" s="3"/>
      <c r="AP56" s="9"/>
    </row>
    <row r="57" ht="15.75" customHeight="1"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R57" s="3"/>
      <c r="S57" s="3"/>
      <c r="T57" s="3"/>
      <c r="U57" s="3"/>
      <c r="V57" s="3"/>
      <c r="W57" s="3"/>
      <c r="X57" s="3"/>
      <c r="Y57" s="3"/>
      <c r="Z57" s="3"/>
      <c r="AA57" s="3"/>
      <c r="AC57" s="9"/>
      <c r="AE57" s="3"/>
      <c r="AF57" s="3"/>
      <c r="AG57" s="3"/>
      <c r="AH57" s="3"/>
      <c r="AI57" s="3"/>
      <c r="AP57" s="9"/>
    </row>
    <row r="58" ht="15.75" customHeight="1"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R58" s="3"/>
      <c r="S58" s="3"/>
      <c r="T58" s="3"/>
      <c r="U58" s="3"/>
      <c r="V58" s="3"/>
      <c r="W58" s="3"/>
      <c r="X58" s="3"/>
      <c r="Y58" s="3"/>
      <c r="Z58" s="3"/>
      <c r="AA58" s="3"/>
      <c r="AC58" s="9"/>
      <c r="AE58" s="3"/>
      <c r="AF58" s="3"/>
      <c r="AG58" s="3"/>
      <c r="AH58" s="3"/>
      <c r="AI58" s="3"/>
      <c r="AP58" s="9"/>
    </row>
    <row r="59" ht="15.75" customHeight="1"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R59" s="3"/>
      <c r="S59" s="3"/>
      <c r="T59" s="3"/>
      <c r="U59" s="3"/>
      <c r="V59" s="3"/>
      <c r="W59" s="3"/>
      <c r="X59" s="3"/>
      <c r="Y59" s="3"/>
      <c r="Z59" s="3"/>
      <c r="AA59" s="3"/>
      <c r="AC59" s="9"/>
      <c r="AE59" s="3"/>
      <c r="AF59" s="3"/>
      <c r="AG59" s="3"/>
      <c r="AH59" s="3"/>
      <c r="AI59" s="3"/>
      <c r="AP59" s="9"/>
    </row>
    <row r="60" ht="15.75" customHeight="1"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R60" s="3"/>
      <c r="S60" s="3"/>
      <c r="T60" s="3"/>
      <c r="U60" s="3"/>
      <c r="V60" s="3"/>
      <c r="W60" s="3"/>
      <c r="X60" s="3"/>
      <c r="Y60" s="3"/>
      <c r="Z60" s="3"/>
      <c r="AA60" s="3"/>
      <c r="AC60" s="9"/>
      <c r="AE60" s="3"/>
      <c r="AF60" s="3"/>
      <c r="AG60" s="3"/>
      <c r="AH60" s="3"/>
      <c r="AI60" s="3"/>
      <c r="AP60" s="9"/>
    </row>
    <row r="61" ht="15.75" customHeight="1"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R61" s="3"/>
      <c r="S61" s="3"/>
      <c r="T61" s="3"/>
      <c r="U61" s="3"/>
      <c r="V61" s="3"/>
      <c r="W61" s="3"/>
      <c r="X61" s="3"/>
      <c r="Y61" s="3"/>
      <c r="Z61" s="3"/>
      <c r="AA61" s="3"/>
      <c r="AC61" s="9"/>
      <c r="AE61" s="3"/>
      <c r="AF61" s="3"/>
      <c r="AG61" s="3"/>
      <c r="AH61" s="3"/>
      <c r="AI61" s="3"/>
      <c r="AP61" s="9"/>
    </row>
    <row r="62" ht="15.75" customHeight="1"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R62" s="3"/>
      <c r="S62" s="3"/>
      <c r="T62" s="3"/>
      <c r="U62" s="3"/>
      <c r="V62" s="3"/>
      <c r="W62" s="3"/>
      <c r="X62" s="3"/>
      <c r="Y62" s="3"/>
      <c r="Z62" s="3"/>
      <c r="AA62" s="3"/>
      <c r="AC62" s="9"/>
      <c r="AE62" s="3"/>
      <c r="AF62" s="3"/>
      <c r="AG62" s="3"/>
      <c r="AH62" s="3"/>
      <c r="AI62" s="3"/>
      <c r="AP62" s="9"/>
    </row>
    <row r="63" ht="15.75" customHeight="1"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R63" s="3"/>
      <c r="S63" s="3"/>
      <c r="T63" s="3"/>
      <c r="U63" s="3"/>
      <c r="V63" s="3"/>
      <c r="W63" s="3"/>
      <c r="X63" s="3"/>
      <c r="Y63" s="3"/>
      <c r="Z63" s="3"/>
      <c r="AA63" s="3"/>
      <c r="AC63" s="9"/>
      <c r="AE63" s="3"/>
      <c r="AF63" s="3"/>
      <c r="AG63" s="3"/>
      <c r="AH63" s="3"/>
      <c r="AI63" s="3"/>
      <c r="AP63" s="9"/>
    </row>
    <row r="64" ht="15.75" customHeight="1"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R64" s="3"/>
      <c r="S64" s="3"/>
      <c r="T64" s="3"/>
      <c r="U64" s="3"/>
      <c r="V64" s="3"/>
      <c r="W64" s="3"/>
      <c r="X64" s="3"/>
      <c r="Y64" s="3"/>
      <c r="Z64" s="3"/>
      <c r="AA64" s="3"/>
      <c r="AC64" s="9"/>
      <c r="AE64" s="3"/>
      <c r="AF64" s="3"/>
      <c r="AG64" s="3"/>
      <c r="AH64" s="3"/>
      <c r="AI64" s="3"/>
      <c r="AP64" s="9"/>
    </row>
    <row r="65" ht="15.75" customHeight="1"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R65" s="3"/>
      <c r="S65" s="3"/>
      <c r="T65" s="3"/>
      <c r="U65" s="3"/>
      <c r="V65" s="3"/>
      <c r="W65" s="3"/>
      <c r="X65" s="3"/>
      <c r="Y65" s="3"/>
      <c r="Z65" s="3"/>
      <c r="AA65" s="3"/>
      <c r="AC65" s="9"/>
      <c r="AE65" s="3"/>
      <c r="AF65" s="3"/>
      <c r="AG65" s="3"/>
      <c r="AH65" s="3"/>
      <c r="AI65" s="3"/>
      <c r="AP65" s="9"/>
    </row>
    <row r="66" ht="15.75" customHeight="1"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R66" s="3"/>
      <c r="S66" s="3"/>
      <c r="T66" s="3"/>
      <c r="U66" s="3"/>
      <c r="V66" s="3"/>
      <c r="W66" s="3"/>
      <c r="X66" s="3"/>
      <c r="Y66" s="3"/>
      <c r="Z66" s="3"/>
      <c r="AA66" s="3"/>
      <c r="AC66" s="9"/>
      <c r="AE66" s="3"/>
      <c r="AF66" s="3"/>
      <c r="AG66" s="3"/>
      <c r="AH66" s="3"/>
      <c r="AI66" s="3"/>
      <c r="AP66" s="9"/>
    </row>
    <row r="67" ht="15.75" customHeight="1"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R67" s="3"/>
      <c r="S67" s="3"/>
      <c r="T67" s="3"/>
      <c r="U67" s="3"/>
      <c r="V67" s="3"/>
      <c r="W67" s="3"/>
      <c r="X67" s="3"/>
      <c r="Y67" s="3"/>
      <c r="Z67" s="3"/>
      <c r="AA67" s="3"/>
      <c r="AC67" s="9"/>
      <c r="AE67" s="3"/>
      <c r="AF67" s="3"/>
      <c r="AG67" s="3"/>
      <c r="AH67" s="3"/>
      <c r="AI67" s="3"/>
      <c r="AP67" s="9"/>
    </row>
    <row r="68" ht="15.75" customHeight="1"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R68" s="3"/>
      <c r="S68" s="3"/>
      <c r="T68" s="3"/>
      <c r="U68" s="3"/>
      <c r="V68" s="3"/>
      <c r="W68" s="3"/>
      <c r="X68" s="3"/>
      <c r="Y68" s="3"/>
      <c r="Z68" s="3"/>
      <c r="AA68" s="3"/>
      <c r="AC68" s="9"/>
      <c r="AE68" s="3"/>
      <c r="AF68" s="3"/>
      <c r="AG68" s="3"/>
      <c r="AH68" s="3"/>
      <c r="AI68" s="3"/>
      <c r="AP68" s="9"/>
    </row>
    <row r="69" ht="15.75" customHeight="1"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R69" s="3"/>
      <c r="S69" s="3"/>
      <c r="T69" s="3"/>
      <c r="U69" s="3"/>
      <c r="V69" s="3"/>
      <c r="W69" s="3"/>
      <c r="X69" s="3"/>
      <c r="Y69" s="3"/>
      <c r="Z69" s="3"/>
      <c r="AA69" s="3"/>
      <c r="AC69" s="9"/>
      <c r="AE69" s="3"/>
      <c r="AF69" s="3"/>
      <c r="AG69" s="3"/>
      <c r="AH69" s="3"/>
      <c r="AI69" s="3"/>
      <c r="AP69" s="9"/>
    </row>
    <row r="70" ht="15.75" customHeight="1"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R70" s="3"/>
      <c r="S70" s="3"/>
      <c r="T70" s="3"/>
      <c r="U70" s="3"/>
      <c r="V70" s="3"/>
      <c r="W70" s="3"/>
      <c r="X70" s="3"/>
      <c r="Y70" s="3"/>
      <c r="Z70" s="3"/>
      <c r="AA70" s="3"/>
      <c r="AC70" s="9"/>
      <c r="AE70" s="3"/>
      <c r="AF70" s="3"/>
      <c r="AG70" s="3"/>
      <c r="AH70" s="3"/>
      <c r="AI70" s="3"/>
      <c r="AP70" s="9"/>
    </row>
    <row r="71" ht="15.75" customHeight="1"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R71" s="3"/>
      <c r="S71" s="3"/>
      <c r="T71" s="3"/>
      <c r="U71" s="3"/>
      <c r="V71" s="3"/>
      <c r="W71" s="3"/>
      <c r="X71" s="3"/>
      <c r="Y71" s="3"/>
      <c r="Z71" s="3"/>
      <c r="AA71" s="3"/>
      <c r="AC71" s="9"/>
      <c r="AE71" s="3"/>
      <c r="AF71" s="3"/>
      <c r="AG71" s="3"/>
      <c r="AH71" s="3"/>
      <c r="AI71" s="3"/>
      <c r="AP71" s="9"/>
    </row>
    <row r="72" ht="15.75" customHeight="1"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R72" s="3"/>
      <c r="S72" s="3"/>
      <c r="T72" s="3"/>
      <c r="U72" s="3"/>
      <c r="V72" s="3"/>
      <c r="W72" s="3"/>
      <c r="X72" s="3"/>
      <c r="Y72" s="3"/>
      <c r="Z72" s="3"/>
      <c r="AA72" s="3"/>
      <c r="AC72" s="9"/>
      <c r="AE72" s="3"/>
      <c r="AF72" s="3"/>
      <c r="AG72" s="3"/>
      <c r="AH72" s="3"/>
      <c r="AI72" s="3"/>
      <c r="AP72" s="9"/>
    </row>
    <row r="73" ht="15.75" customHeight="1"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R73" s="3"/>
      <c r="S73" s="3"/>
      <c r="T73" s="3"/>
      <c r="U73" s="3"/>
      <c r="V73" s="3"/>
      <c r="W73" s="3"/>
      <c r="X73" s="3"/>
      <c r="Y73" s="3"/>
      <c r="Z73" s="3"/>
      <c r="AA73" s="3"/>
      <c r="AC73" s="9"/>
      <c r="AE73" s="3"/>
      <c r="AF73" s="3"/>
      <c r="AG73" s="3"/>
      <c r="AH73" s="3"/>
      <c r="AI73" s="3"/>
      <c r="AP73" s="9"/>
    </row>
    <row r="74" ht="15.75" customHeight="1"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R74" s="3"/>
      <c r="S74" s="3"/>
      <c r="T74" s="3"/>
      <c r="U74" s="3"/>
      <c r="V74" s="3"/>
      <c r="W74" s="3"/>
      <c r="X74" s="3"/>
      <c r="Y74" s="3"/>
      <c r="Z74" s="3"/>
      <c r="AA74" s="3"/>
      <c r="AC74" s="9"/>
      <c r="AE74" s="3"/>
      <c r="AF74" s="3"/>
      <c r="AG74" s="3"/>
      <c r="AH74" s="3"/>
      <c r="AI74" s="3"/>
      <c r="AP74" s="9"/>
    </row>
    <row r="75" ht="15.75" customHeight="1"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R75" s="3"/>
      <c r="S75" s="3"/>
      <c r="T75" s="3"/>
      <c r="U75" s="3"/>
      <c r="V75" s="3"/>
      <c r="W75" s="3"/>
      <c r="X75" s="3"/>
      <c r="Y75" s="3"/>
      <c r="Z75" s="3"/>
      <c r="AA75" s="3"/>
      <c r="AC75" s="9"/>
      <c r="AE75" s="3"/>
      <c r="AF75" s="3"/>
      <c r="AG75" s="3"/>
      <c r="AH75" s="3"/>
      <c r="AI75" s="3"/>
      <c r="AP75" s="9"/>
    </row>
    <row r="76" ht="15.75" customHeight="1"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R76" s="3"/>
      <c r="S76" s="3"/>
      <c r="T76" s="3"/>
      <c r="U76" s="3"/>
      <c r="V76" s="3"/>
      <c r="W76" s="3"/>
      <c r="X76" s="3"/>
      <c r="Y76" s="3"/>
      <c r="Z76" s="3"/>
      <c r="AA76" s="3"/>
      <c r="AC76" s="9"/>
      <c r="AE76" s="3"/>
      <c r="AF76" s="3"/>
      <c r="AG76" s="3"/>
      <c r="AH76" s="3"/>
      <c r="AI76" s="3"/>
      <c r="AP76" s="9"/>
    </row>
    <row r="77" ht="15.75" customHeight="1"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R77" s="3"/>
      <c r="S77" s="3"/>
      <c r="T77" s="3"/>
      <c r="U77" s="3"/>
      <c r="V77" s="3"/>
      <c r="W77" s="3"/>
      <c r="X77" s="3"/>
      <c r="Y77" s="3"/>
      <c r="Z77" s="3"/>
      <c r="AA77" s="3"/>
      <c r="AC77" s="9"/>
      <c r="AE77" s="3"/>
      <c r="AF77" s="3"/>
      <c r="AG77" s="3"/>
      <c r="AH77" s="3"/>
      <c r="AI77" s="3"/>
      <c r="AP77" s="9"/>
    </row>
    <row r="78" ht="15.75" customHeight="1"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R78" s="3"/>
      <c r="S78" s="3"/>
      <c r="T78" s="3"/>
      <c r="U78" s="3"/>
      <c r="V78" s="3"/>
      <c r="W78" s="3"/>
      <c r="X78" s="3"/>
      <c r="Y78" s="3"/>
      <c r="Z78" s="3"/>
      <c r="AA78" s="3"/>
      <c r="AC78" s="9"/>
      <c r="AE78" s="3"/>
      <c r="AF78" s="3"/>
      <c r="AG78" s="3"/>
      <c r="AH78" s="3"/>
      <c r="AI78" s="3"/>
      <c r="AP78" s="9"/>
    </row>
    <row r="79" ht="15.75" customHeight="1"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R79" s="3"/>
      <c r="S79" s="3"/>
      <c r="T79" s="3"/>
      <c r="U79" s="3"/>
      <c r="V79" s="3"/>
      <c r="W79" s="3"/>
      <c r="X79" s="3"/>
      <c r="Y79" s="3"/>
      <c r="Z79" s="3"/>
      <c r="AA79" s="3"/>
      <c r="AC79" s="9"/>
      <c r="AE79" s="3"/>
      <c r="AF79" s="3"/>
      <c r="AG79" s="3"/>
      <c r="AH79" s="3"/>
      <c r="AI79" s="3"/>
      <c r="AP79" s="9"/>
    </row>
    <row r="80" ht="15.75" customHeight="1"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R80" s="3"/>
      <c r="S80" s="3"/>
      <c r="T80" s="3"/>
      <c r="U80" s="3"/>
      <c r="V80" s="3"/>
      <c r="W80" s="3"/>
      <c r="X80" s="3"/>
      <c r="Y80" s="3"/>
      <c r="Z80" s="3"/>
      <c r="AA80" s="3"/>
      <c r="AC80" s="9"/>
      <c r="AE80" s="3"/>
      <c r="AF80" s="3"/>
      <c r="AG80" s="3"/>
      <c r="AH80" s="3"/>
      <c r="AI80" s="3"/>
      <c r="AP80" s="9"/>
    </row>
    <row r="81" ht="15.75" customHeight="1"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R81" s="3"/>
      <c r="S81" s="3"/>
      <c r="T81" s="3"/>
      <c r="U81" s="3"/>
      <c r="V81" s="3"/>
      <c r="W81" s="3"/>
      <c r="X81" s="3"/>
      <c r="Y81" s="3"/>
      <c r="Z81" s="3"/>
      <c r="AA81" s="3"/>
      <c r="AC81" s="9"/>
      <c r="AE81" s="3"/>
      <c r="AF81" s="3"/>
      <c r="AG81" s="3"/>
      <c r="AH81" s="3"/>
      <c r="AI81" s="3"/>
      <c r="AP81" s="9"/>
    </row>
    <row r="82" ht="15.75" customHeight="1"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R82" s="3"/>
      <c r="S82" s="3"/>
      <c r="T82" s="3"/>
      <c r="U82" s="3"/>
      <c r="V82" s="3"/>
      <c r="W82" s="3"/>
      <c r="X82" s="3"/>
      <c r="Y82" s="3"/>
      <c r="Z82" s="3"/>
      <c r="AA82" s="3"/>
      <c r="AC82" s="9"/>
      <c r="AE82" s="3"/>
      <c r="AF82" s="3"/>
      <c r="AG82" s="3"/>
      <c r="AH82" s="3"/>
      <c r="AI82" s="3"/>
      <c r="AP82" s="9"/>
    </row>
    <row r="83" ht="15.75" customHeight="1"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R83" s="3"/>
      <c r="S83" s="3"/>
      <c r="T83" s="3"/>
      <c r="U83" s="3"/>
      <c r="V83" s="3"/>
      <c r="W83" s="3"/>
      <c r="X83" s="3"/>
      <c r="Y83" s="3"/>
      <c r="Z83" s="3"/>
      <c r="AA83" s="3"/>
      <c r="AC83" s="9"/>
      <c r="AE83" s="3"/>
      <c r="AF83" s="3"/>
      <c r="AG83" s="3"/>
      <c r="AH83" s="3"/>
      <c r="AI83" s="3"/>
      <c r="AP83" s="9"/>
    </row>
    <row r="84" ht="15.75" customHeight="1"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R84" s="3"/>
      <c r="S84" s="3"/>
      <c r="T84" s="3"/>
      <c r="U84" s="3"/>
      <c r="V84" s="3"/>
      <c r="W84" s="3"/>
      <c r="X84" s="3"/>
      <c r="Y84" s="3"/>
      <c r="Z84" s="3"/>
      <c r="AA84" s="3"/>
      <c r="AC84" s="9"/>
      <c r="AE84" s="3"/>
      <c r="AF84" s="3"/>
      <c r="AG84" s="3"/>
      <c r="AH84" s="3"/>
      <c r="AI84" s="3"/>
      <c r="AP84" s="9"/>
    </row>
    <row r="85" ht="15.75" customHeight="1"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R85" s="3"/>
      <c r="S85" s="3"/>
      <c r="T85" s="3"/>
      <c r="U85" s="3"/>
      <c r="V85" s="3"/>
      <c r="W85" s="3"/>
      <c r="X85" s="3"/>
      <c r="Y85" s="3"/>
      <c r="Z85" s="3"/>
      <c r="AA85" s="3"/>
      <c r="AC85" s="9"/>
      <c r="AE85" s="3"/>
      <c r="AF85" s="3"/>
      <c r="AG85" s="3"/>
      <c r="AH85" s="3"/>
      <c r="AI85" s="3"/>
      <c r="AP85" s="9"/>
    </row>
    <row r="86" ht="15.75" customHeight="1"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R86" s="3"/>
      <c r="S86" s="3"/>
      <c r="T86" s="3"/>
      <c r="U86" s="3"/>
      <c r="V86" s="3"/>
      <c r="W86" s="3"/>
      <c r="X86" s="3"/>
      <c r="Y86" s="3"/>
      <c r="Z86" s="3"/>
      <c r="AA86" s="3"/>
      <c r="AC86" s="9"/>
      <c r="AE86" s="3"/>
      <c r="AF86" s="3"/>
      <c r="AG86" s="3"/>
      <c r="AH86" s="3"/>
      <c r="AI86" s="3"/>
      <c r="AP86" s="9"/>
    </row>
    <row r="87" ht="15.75" customHeight="1"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R87" s="3"/>
      <c r="S87" s="3"/>
      <c r="T87" s="3"/>
      <c r="U87" s="3"/>
      <c r="V87" s="3"/>
      <c r="W87" s="3"/>
      <c r="X87" s="3"/>
      <c r="Y87" s="3"/>
      <c r="Z87" s="3"/>
      <c r="AA87" s="3"/>
      <c r="AC87" s="9"/>
      <c r="AE87" s="3"/>
      <c r="AF87" s="3"/>
      <c r="AG87" s="3"/>
      <c r="AH87" s="3"/>
      <c r="AI87" s="3"/>
      <c r="AP87" s="9"/>
    </row>
    <row r="88" ht="15.75" customHeight="1"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R88" s="3"/>
      <c r="S88" s="3"/>
      <c r="T88" s="3"/>
      <c r="U88" s="3"/>
      <c r="V88" s="3"/>
      <c r="W88" s="3"/>
      <c r="X88" s="3"/>
      <c r="Y88" s="3"/>
      <c r="Z88" s="3"/>
      <c r="AA88" s="3"/>
      <c r="AC88" s="9"/>
      <c r="AE88" s="3"/>
      <c r="AF88" s="3"/>
      <c r="AG88" s="3"/>
      <c r="AH88" s="3"/>
      <c r="AI88" s="3"/>
      <c r="AP88" s="9"/>
    </row>
    <row r="89" ht="15.75" customHeight="1"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R89" s="3"/>
      <c r="S89" s="3"/>
      <c r="T89" s="3"/>
      <c r="U89" s="3"/>
      <c r="V89" s="3"/>
      <c r="W89" s="3"/>
      <c r="X89" s="3"/>
      <c r="Y89" s="3"/>
      <c r="Z89" s="3"/>
      <c r="AA89" s="3"/>
      <c r="AC89" s="9"/>
      <c r="AE89" s="3"/>
      <c r="AF89" s="3"/>
      <c r="AG89" s="3"/>
      <c r="AH89" s="3"/>
      <c r="AI89" s="3"/>
      <c r="AP89" s="9"/>
    </row>
    <row r="90" ht="15.75" customHeight="1"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R90" s="3"/>
      <c r="S90" s="3"/>
      <c r="T90" s="3"/>
      <c r="U90" s="3"/>
      <c r="V90" s="3"/>
      <c r="W90" s="3"/>
      <c r="X90" s="3"/>
      <c r="Y90" s="3"/>
      <c r="Z90" s="3"/>
      <c r="AA90" s="3"/>
      <c r="AC90" s="9"/>
      <c r="AE90" s="3"/>
      <c r="AF90" s="3"/>
      <c r="AG90" s="3"/>
      <c r="AH90" s="3"/>
      <c r="AI90" s="3"/>
      <c r="AP90" s="9"/>
    </row>
    <row r="91" ht="15.75" customHeight="1"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R91" s="3"/>
      <c r="S91" s="3"/>
      <c r="T91" s="3"/>
      <c r="U91" s="3"/>
      <c r="V91" s="3"/>
      <c r="W91" s="3"/>
      <c r="X91" s="3"/>
      <c r="Y91" s="3"/>
      <c r="Z91" s="3"/>
      <c r="AA91" s="3"/>
      <c r="AC91" s="9"/>
      <c r="AE91" s="3"/>
      <c r="AF91" s="3"/>
      <c r="AG91" s="3"/>
      <c r="AH91" s="3"/>
      <c r="AI91" s="3"/>
      <c r="AP91" s="9"/>
    </row>
    <row r="92" ht="15.75" customHeight="1"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R92" s="3"/>
      <c r="S92" s="3"/>
      <c r="T92" s="3"/>
      <c r="U92" s="3"/>
      <c r="V92" s="3"/>
      <c r="W92" s="3"/>
      <c r="X92" s="3"/>
      <c r="Y92" s="3"/>
      <c r="Z92" s="3"/>
      <c r="AA92" s="3"/>
      <c r="AC92" s="9"/>
      <c r="AE92" s="3"/>
      <c r="AF92" s="3"/>
      <c r="AG92" s="3"/>
      <c r="AH92" s="3"/>
      <c r="AI92" s="3"/>
      <c r="AP92" s="9"/>
    </row>
    <row r="93" ht="15.75" customHeight="1"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R93" s="3"/>
      <c r="S93" s="3"/>
      <c r="T93" s="3"/>
      <c r="U93" s="3"/>
      <c r="V93" s="3"/>
      <c r="W93" s="3"/>
      <c r="X93" s="3"/>
      <c r="Y93" s="3"/>
      <c r="Z93" s="3"/>
      <c r="AA93" s="3"/>
      <c r="AC93" s="9"/>
      <c r="AE93" s="3"/>
      <c r="AF93" s="3"/>
      <c r="AG93" s="3"/>
      <c r="AH93" s="3"/>
      <c r="AI93" s="3"/>
      <c r="AP93" s="9"/>
    </row>
    <row r="94" ht="15.75" customHeight="1"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R94" s="3"/>
      <c r="S94" s="3"/>
      <c r="T94" s="3"/>
      <c r="U94" s="3"/>
      <c r="V94" s="3"/>
      <c r="W94" s="3"/>
      <c r="X94" s="3"/>
      <c r="Y94" s="3"/>
      <c r="Z94" s="3"/>
      <c r="AA94" s="3"/>
      <c r="AC94" s="9"/>
      <c r="AE94" s="3"/>
      <c r="AF94" s="3"/>
      <c r="AG94" s="3"/>
      <c r="AH94" s="3"/>
      <c r="AI94" s="3"/>
      <c r="AP94" s="9"/>
    </row>
    <row r="95" ht="15.75" customHeight="1"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R95" s="3"/>
      <c r="S95" s="3"/>
      <c r="T95" s="3"/>
      <c r="U95" s="3"/>
      <c r="V95" s="3"/>
      <c r="W95" s="3"/>
      <c r="X95" s="3"/>
      <c r="Y95" s="3"/>
      <c r="Z95" s="3"/>
      <c r="AA95" s="3"/>
      <c r="AC95" s="9"/>
      <c r="AE95" s="3"/>
      <c r="AF95" s="3"/>
      <c r="AG95" s="3"/>
      <c r="AH95" s="3"/>
      <c r="AI95" s="3"/>
      <c r="AP95" s="9"/>
    </row>
    <row r="96" ht="15.75" customHeight="1"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R96" s="3"/>
      <c r="S96" s="3"/>
      <c r="T96" s="3"/>
      <c r="U96" s="3"/>
      <c r="V96" s="3"/>
      <c r="W96" s="3"/>
      <c r="X96" s="3"/>
      <c r="Y96" s="3"/>
      <c r="Z96" s="3"/>
      <c r="AA96" s="3"/>
      <c r="AC96" s="9"/>
      <c r="AE96" s="3"/>
      <c r="AF96" s="3"/>
      <c r="AG96" s="3"/>
      <c r="AH96" s="3"/>
      <c r="AI96" s="3"/>
      <c r="AP96" s="9"/>
    </row>
    <row r="97" ht="15.75" customHeight="1"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R97" s="3"/>
      <c r="S97" s="3"/>
      <c r="T97" s="3"/>
      <c r="U97" s="3"/>
      <c r="V97" s="3"/>
      <c r="W97" s="3"/>
      <c r="X97" s="3"/>
      <c r="Y97" s="3"/>
      <c r="Z97" s="3"/>
      <c r="AA97" s="3"/>
      <c r="AC97" s="9"/>
      <c r="AE97" s="3"/>
      <c r="AF97" s="3"/>
      <c r="AG97" s="3"/>
      <c r="AH97" s="3"/>
      <c r="AI97" s="3"/>
      <c r="AP97" s="9"/>
    </row>
    <row r="98" ht="15.75" customHeight="1"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R98" s="3"/>
      <c r="S98" s="3"/>
      <c r="T98" s="3"/>
      <c r="U98" s="3"/>
      <c r="V98" s="3"/>
      <c r="W98" s="3"/>
      <c r="X98" s="3"/>
      <c r="Y98" s="3"/>
      <c r="Z98" s="3"/>
      <c r="AA98" s="3"/>
      <c r="AC98" s="9"/>
      <c r="AE98" s="3"/>
      <c r="AF98" s="3"/>
      <c r="AG98" s="3"/>
      <c r="AH98" s="3"/>
      <c r="AI98" s="3"/>
      <c r="AP98" s="9"/>
    </row>
    <row r="99" ht="15.75" customHeight="1"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R99" s="3"/>
      <c r="S99" s="3"/>
      <c r="T99" s="3"/>
      <c r="U99" s="3"/>
      <c r="V99" s="3"/>
      <c r="W99" s="3"/>
      <c r="X99" s="3"/>
      <c r="Y99" s="3"/>
      <c r="Z99" s="3"/>
      <c r="AA99" s="3"/>
      <c r="AC99" s="9"/>
      <c r="AE99" s="3"/>
      <c r="AF99" s="3"/>
      <c r="AG99" s="3"/>
      <c r="AH99" s="3"/>
      <c r="AI99" s="3"/>
      <c r="AP99" s="9"/>
    </row>
    <row r="100" ht="15.75" customHeight="1"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C100" s="9"/>
      <c r="AE100" s="3"/>
      <c r="AF100" s="3"/>
      <c r="AG100" s="3"/>
      <c r="AH100" s="3"/>
      <c r="AI100" s="3"/>
      <c r="AP100" s="9"/>
    </row>
    <row r="101" ht="15.75" customHeight="1"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C101" s="9"/>
      <c r="AE101" s="3"/>
      <c r="AF101" s="3"/>
      <c r="AG101" s="3"/>
      <c r="AH101" s="3"/>
      <c r="AI101" s="3"/>
      <c r="AP101" s="9"/>
    </row>
    <row r="102" ht="15.75" customHeight="1"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C102" s="9"/>
      <c r="AE102" s="3"/>
      <c r="AF102" s="3"/>
      <c r="AG102" s="3"/>
      <c r="AH102" s="3"/>
      <c r="AI102" s="3"/>
      <c r="AP102" s="9"/>
    </row>
    <row r="103" ht="15.75" customHeight="1"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C103" s="9"/>
      <c r="AE103" s="3"/>
      <c r="AF103" s="3"/>
      <c r="AG103" s="3"/>
      <c r="AH103" s="3"/>
      <c r="AI103" s="3"/>
      <c r="AP103" s="9"/>
    </row>
    <row r="104" ht="15.75" customHeight="1"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C104" s="9"/>
      <c r="AE104" s="3"/>
      <c r="AF104" s="3"/>
      <c r="AG104" s="3"/>
      <c r="AH104" s="3"/>
      <c r="AI104" s="3"/>
      <c r="AP104" s="9"/>
    </row>
    <row r="105" ht="15.75" customHeight="1"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C105" s="9"/>
      <c r="AE105" s="3"/>
      <c r="AF105" s="3"/>
      <c r="AG105" s="3"/>
      <c r="AH105" s="3"/>
      <c r="AI105" s="3"/>
      <c r="AP105" s="9"/>
    </row>
    <row r="106" ht="15.75" customHeight="1"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C106" s="9"/>
      <c r="AE106" s="3"/>
      <c r="AF106" s="3"/>
      <c r="AG106" s="3"/>
      <c r="AH106" s="3"/>
      <c r="AI106" s="3"/>
      <c r="AP106" s="9"/>
    </row>
    <row r="107" ht="15.75" customHeight="1"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C107" s="9"/>
      <c r="AE107" s="3"/>
      <c r="AF107" s="3"/>
      <c r="AG107" s="3"/>
      <c r="AH107" s="3"/>
      <c r="AI107" s="3"/>
      <c r="AP107" s="9"/>
    </row>
    <row r="108" ht="15.75" customHeight="1"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C108" s="9"/>
      <c r="AE108" s="3"/>
      <c r="AF108" s="3"/>
      <c r="AG108" s="3"/>
      <c r="AH108" s="3"/>
      <c r="AI108" s="3"/>
      <c r="AP108" s="9"/>
    </row>
    <row r="109" ht="15.75" customHeight="1"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C109" s="9"/>
      <c r="AE109" s="3"/>
      <c r="AF109" s="3"/>
      <c r="AG109" s="3"/>
      <c r="AH109" s="3"/>
      <c r="AI109" s="3"/>
      <c r="AP109" s="9"/>
    </row>
    <row r="110" ht="15.75" customHeight="1"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C110" s="9"/>
      <c r="AE110" s="3"/>
      <c r="AF110" s="3"/>
      <c r="AG110" s="3"/>
      <c r="AH110" s="3"/>
      <c r="AI110" s="3"/>
      <c r="AP110" s="9"/>
    </row>
    <row r="111" ht="15.75" customHeight="1"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C111" s="9"/>
      <c r="AE111" s="3"/>
      <c r="AF111" s="3"/>
      <c r="AG111" s="3"/>
      <c r="AH111" s="3"/>
      <c r="AI111" s="3"/>
      <c r="AP111" s="9"/>
    </row>
    <row r="112" ht="15.75" customHeight="1"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C112" s="9"/>
      <c r="AE112" s="3"/>
      <c r="AF112" s="3"/>
      <c r="AG112" s="3"/>
      <c r="AH112" s="3"/>
      <c r="AI112" s="3"/>
      <c r="AP112" s="9"/>
    </row>
    <row r="113" ht="15.75" customHeight="1"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C113" s="9"/>
      <c r="AE113" s="3"/>
      <c r="AF113" s="3"/>
      <c r="AG113" s="3"/>
      <c r="AH113" s="3"/>
      <c r="AI113" s="3"/>
      <c r="AP113" s="9"/>
    </row>
    <row r="114" ht="15.75" customHeight="1"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C114" s="9"/>
      <c r="AE114" s="3"/>
      <c r="AF114" s="3"/>
      <c r="AG114" s="3"/>
      <c r="AH114" s="3"/>
      <c r="AI114" s="3"/>
      <c r="AP114" s="9"/>
    </row>
    <row r="115" ht="15.75" customHeight="1"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C115" s="9"/>
      <c r="AE115" s="3"/>
      <c r="AF115" s="3"/>
      <c r="AG115" s="3"/>
      <c r="AH115" s="3"/>
      <c r="AI115" s="3"/>
      <c r="AP115" s="9"/>
    </row>
    <row r="116" ht="15.75" customHeight="1"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C116" s="9"/>
      <c r="AE116" s="3"/>
      <c r="AF116" s="3"/>
      <c r="AG116" s="3"/>
      <c r="AH116" s="3"/>
      <c r="AI116" s="3"/>
      <c r="AP116" s="9"/>
    </row>
    <row r="117" ht="15.75" customHeight="1"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C117" s="9"/>
      <c r="AE117" s="3"/>
      <c r="AF117" s="3"/>
      <c r="AG117" s="3"/>
      <c r="AH117" s="3"/>
      <c r="AI117" s="3"/>
      <c r="AP117" s="9"/>
    </row>
    <row r="118" ht="15.75" customHeight="1"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C118" s="9"/>
      <c r="AE118" s="3"/>
      <c r="AF118" s="3"/>
      <c r="AG118" s="3"/>
      <c r="AH118" s="3"/>
      <c r="AI118" s="3"/>
      <c r="AP118" s="9"/>
    </row>
    <row r="119" ht="15.75" customHeight="1"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C119" s="9"/>
      <c r="AE119" s="3"/>
      <c r="AF119" s="3"/>
      <c r="AG119" s="3"/>
      <c r="AH119" s="3"/>
      <c r="AI119" s="3"/>
      <c r="AP119" s="9"/>
    </row>
    <row r="120" ht="15.75" customHeight="1"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C120" s="9"/>
      <c r="AE120" s="3"/>
      <c r="AF120" s="3"/>
      <c r="AG120" s="3"/>
      <c r="AH120" s="3"/>
      <c r="AI120" s="3"/>
      <c r="AP120" s="9"/>
    </row>
    <row r="121" ht="15.75" customHeight="1"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C121" s="9"/>
      <c r="AE121" s="3"/>
      <c r="AF121" s="3"/>
      <c r="AG121" s="3"/>
      <c r="AH121" s="3"/>
      <c r="AI121" s="3"/>
      <c r="AP121" s="9"/>
    </row>
    <row r="122" ht="15.75" customHeight="1"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C122" s="9"/>
      <c r="AE122" s="3"/>
      <c r="AF122" s="3"/>
      <c r="AG122" s="3"/>
      <c r="AH122" s="3"/>
      <c r="AI122" s="3"/>
      <c r="AP122" s="9"/>
    </row>
    <row r="123" ht="15.75" customHeight="1"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C123" s="9"/>
      <c r="AE123" s="3"/>
      <c r="AF123" s="3"/>
      <c r="AG123" s="3"/>
      <c r="AH123" s="3"/>
      <c r="AI123" s="3"/>
      <c r="AP123" s="9"/>
    </row>
    <row r="124" ht="15.75" customHeight="1"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C124" s="9"/>
      <c r="AE124" s="3"/>
      <c r="AF124" s="3"/>
      <c r="AG124" s="3"/>
      <c r="AH124" s="3"/>
      <c r="AI124" s="3"/>
      <c r="AP124" s="9"/>
    </row>
    <row r="125" ht="15.75" customHeight="1"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C125" s="9"/>
      <c r="AE125" s="3"/>
      <c r="AF125" s="3"/>
      <c r="AG125" s="3"/>
      <c r="AH125" s="3"/>
      <c r="AI125" s="3"/>
      <c r="AP125" s="9"/>
    </row>
    <row r="126" ht="15.75" customHeight="1"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C126" s="9"/>
      <c r="AE126" s="3"/>
      <c r="AF126" s="3"/>
      <c r="AG126" s="3"/>
      <c r="AH126" s="3"/>
      <c r="AI126" s="3"/>
      <c r="AP126" s="9"/>
    </row>
    <row r="127" ht="15.75" customHeight="1"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C127" s="9"/>
      <c r="AE127" s="3"/>
      <c r="AF127" s="3"/>
      <c r="AG127" s="3"/>
      <c r="AH127" s="3"/>
      <c r="AI127" s="3"/>
      <c r="AP127" s="9"/>
    </row>
    <row r="128" ht="15.75" customHeight="1"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C128" s="9"/>
      <c r="AE128" s="3"/>
      <c r="AF128" s="3"/>
      <c r="AG128" s="3"/>
      <c r="AH128" s="3"/>
      <c r="AI128" s="3"/>
      <c r="AP128" s="9"/>
    </row>
    <row r="129" ht="15.75" customHeight="1"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C129" s="9"/>
      <c r="AE129" s="3"/>
      <c r="AF129" s="3"/>
      <c r="AG129" s="3"/>
      <c r="AH129" s="3"/>
      <c r="AI129" s="3"/>
      <c r="AP129" s="9"/>
    </row>
    <row r="130" ht="15.75" customHeight="1"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C130" s="9"/>
      <c r="AE130" s="3"/>
      <c r="AF130" s="3"/>
      <c r="AG130" s="3"/>
      <c r="AH130" s="3"/>
      <c r="AI130" s="3"/>
      <c r="AP130" s="9"/>
    </row>
    <row r="131" ht="15.75" customHeight="1"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C131" s="9"/>
      <c r="AE131" s="3"/>
      <c r="AF131" s="3"/>
      <c r="AG131" s="3"/>
      <c r="AH131" s="3"/>
      <c r="AI131" s="3"/>
      <c r="AP131" s="9"/>
    </row>
    <row r="132" ht="15.75" customHeight="1"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C132" s="9"/>
      <c r="AE132" s="3"/>
      <c r="AF132" s="3"/>
      <c r="AG132" s="3"/>
      <c r="AH132" s="3"/>
      <c r="AI132" s="3"/>
      <c r="AP132" s="9"/>
    </row>
    <row r="133" ht="15.75" customHeight="1"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C133" s="9"/>
      <c r="AE133" s="3"/>
      <c r="AF133" s="3"/>
      <c r="AG133" s="3"/>
      <c r="AH133" s="3"/>
      <c r="AI133" s="3"/>
      <c r="AP133" s="9"/>
    </row>
    <row r="134" ht="15.75" customHeight="1"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C134" s="9"/>
      <c r="AE134" s="3"/>
      <c r="AF134" s="3"/>
      <c r="AG134" s="3"/>
      <c r="AH134" s="3"/>
      <c r="AI134" s="3"/>
      <c r="AP134" s="9"/>
    </row>
    <row r="135" ht="15.75" customHeight="1"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C135" s="9"/>
      <c r="AE135" s="3"/>
      <c r="AF135" s="3"/>
      <c r="AG135" s="3"/>
      <c r="AH135" s="3"/>
      <c r="AI135" s="3"/>
      <c r="AP135" s="9"/>
    </row>
    <row r="136" ht="15.75" customHeight="1"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C136" s="9"/>
      <c r="AE136" s="3"/>
      <c r="AF136" s="3"/>
      <c r="AG136" s="3"/>
      <c r="AH136" s="3"/>
      <c r="AI136" s="3"/>
      <c r="AP136" s="9"/>
    </row>
    <row r="137" ht="15.75" customHeight="1"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C137" s="9"/>
      <c r="AE137" s="3"/>
      <c r="AF137" s="3"/>
      <c r="AG137" s="3"/>
      <c r="AH137" s="3"/>
      <c r="AI137" s="3"/>
      <c r="AP137" s="9"/>
    </row>
    <row r="138" ht="15.75" customHeight="1"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C138" s="9"/>
      <c r="AE138" s="3"/>
      <c r="AF138" s="3"/>
      <c r="AG138" s="3"/>
      <c r="AH138" s="3"/>
      <c r="AI138" s="3"/>
      <c r="AP138" s="9"/>
    </row>
    <row r="139" ht="15.75" customHeight="1"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C139" s="9"/>
      <c r="AE139" s="3"/>
      <c r="AF139" s="3"/>
      <c r="AG139" s="3"/>
      <c r="AH139" s="3"/>
      <c r="AI139" s="3"/>
      <c r="AP139" s="9"/>
    </row>
    <row r="140" ht="15.75" customHeight="1"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C140" s="9"/>
      <c r="AE140" s="3"/>
      <c r="AF140" s="3"/>
      <c r="AG140" s="3"/>
      <c r="AH140" s="3"/>
      <c r="AI140" s="3"/>
      <c r="AP140" s="9"/>
    </row>
    <row r="141" ht="15.75" customHeight="1"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C141" s="9"/>
      <c r="AE141" s="3"/>
      <c r="AF141" s="3"/>
      <c r="AG141" s="3"/>
      <c r="AH141" s="3"/>
      <c r="AI141" s="3"/>
      <c r="AP141" s="9"/>
    </row>
    <row r="142" ht="15.75" customHeight="1"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C142" s="9"/>
      <c r="AE142" s="3"/>
      <c r="AF142" s="3"/>
      <c r="AG142" s="3"/>
      <c r="AH142" s="3"/>
      <c r="AI142" s="3"/>
      <c r="AP142" s="9"/>
    </row>
    <row r="143" ht="15.75" customHeight="1"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C143" s="9"/>
      <c r="AE143" s="3"/>
      <c r="AF143" s="3"/>
      <c r="AG143" s="3"/>
      <c r="AH143" s="3"/>
      <c r="AI143" s="3"/>
      <c r="AP143" s="9"/>
    </row>
    <row r="144" ht="15.75" customHeight="1"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C144" s="9"/>
      <c r="AE144" s="3"/>
      <c r="AF144" s="3"/>
      <c r="AG144" s="3"/>
      <c r="AH144" s="3"/>
      <c r="AI144" s="3"/>
      <c r="AP144" s="9"/>
    </row>
    <row r="145" ht="15.75" customHeight="1"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C145" s="9"/>
      <c r="AE145" s="3"/>
      <c r="AF145" s="3"/>
      <c r="AG145" s="3"/>
      <c r="AH145" s="3"/>
      <c r="AI145" s="3"/>
      <c r="AP145" s="9"/>
    </row>
    <row r="146" ht="15.75" customHeight="1"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C146" s="9"/>
      <c r="AE146" s="3"/>
      <c r="AF146" s="3"/>
      <c r="AG146" s="3"/>
      <c r="AH146" s="3"/>
      <c r="AI146" s="3"/>
      <c r="AP146" s="9"/>
    </row>
    <row r="147" ht="15.75" customHeight="1"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C147" s="9"/>
      <c r="AE147" s="3"/>
      <c r="AF147" s="3"/>
      <c r="AG147" s="3"/>
      <c r="AH147" s="3"/>
      <c r="AI147" s="3"/>
      <c r="AP147" s="9"/>
    </row>
    <row r="148" ht="15.75" customHeight="1"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C148" s="9"/>
      <c r="AE148" s="3"/>
      <c r="AF148" s="3"/>
      <c r="AG148" s="3"/>
      <c r="AH148" s="3"/>
      <c r="AI148" s="3"/>
      <c r="AP148" s="9"/>
    </row>
    <row r="149" ht="15.75" customHeight="1"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C149" s="9"/>
      <c r="AE149" s="3"/>
      <c r="AF149" s="3"/>
      <c r="AG149" s="3"/>
      <c r="AH149" s="3"/>
      <c r="AI149" s="3"/>
      <c r="AP149" s="9"/>
    </row>
    <row r="150" ht="15.75" customHeight="1"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C150" s="9"/>
      <c r="AE150" s="3"/>
      <c r="AF150" s="3"/>
      <c r="AG150" s="3"/>
      <c r="AH150" s="3"/>
      <c r="AI150" s="3"/>
      <c r="AP150" s="9"/>
    </row>
    <row r="151" ht="15.75" customHeight="1"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C151" s="9"/>
      <c r="AE151" s="3"/>
      <c r="AF151" s="3"/>
      <c r="AG151" s="3"/>
      <c r="AH151" s="3"/>
      <c r="AI151" s="3"/>
      <c r="AP151" s="9"/>
    </row>
    <row r="152" ht="15.75" customHeight="1"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C152" s="9"/>
      <c r="AE152" s="3"/>
      <c r="AF152" s="3"/>
      <c r="AG152" s="3"/>
      <c r="AH152" s="3"/>
      <c r="AI152" s="3"/>
      <c r="AP152" s="9"/>
    </row>
    <row r="153" ht="15.75" customHeight="1"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C153" s="9"/>
      <c r="AE153" s="3"/>
      <c r="AF153" s="3"/>
      <c r="AG153" s="3"/>
      <c r="AH153" s="3"/>
      <c r="AI153" s="3"/>
      <c r="AP153" s="9"/>
    </row>
    <row r="154" ht="15.75" customHeight="1"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C154" s="9"/>
      <c r="AE154" s="3"/>
      <c r="AF154" s="3"/>
      <c r="AG154" s="3"/>
      <c r="AH154" s="3"/>
      <c r="AI154" s="3"/>
      <c r="AP154" s="9"/>
    </row>
    <row r="155" ht="15.75" customHeight="1"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C155" s="9"/>
      <c r="AE155" s="3"/>
      <c r="AF155" s="3"/>
      <c r="AG155" s="3"/>
      <c r="AH155" s="3"/>
      <c r="AI155" s="3"/>
      <c r="AP155" s="9"/>
    </row>
    <row r="156" ht="15.75" customHeight="1"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C156" s="9"/>
      <c r="AE156" s="3"/>
      <c r="AF156" s="3"/>
      <c r="AG156" s="3"/>
      <c r="AH156" s="3"/>
      <c r="AI156" s="3"/>
      <c r="AP156" s="9"/>
    </row>
    <row r="157" ht="15.75" customHeight="1"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C157" s="9"/>
      <c r="AE157" s="3"/>
      <c r="AF157" s="3"/>
      <c r="AG157" s="3"/>
      <c r="AH157" s="3"/>
      <c r="AI157" s="3"/>
      <c r="AP157" s="9"/>
    </row>
    <row r="158" ht="15.75" customHeight="1"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C158" s="9"/>
      <c r="AE158" s="3"/>
      <c r="AF158" s="3"/>
      <c r="AG158" s="3"/>
      <c r="AH158" s="3"/>
      <c r="AI158" s="3"/>
      <c r="AP158" s="9"/>
    </row>
    <row r="159" ht="15.75" customHeight="1"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C159" s="9"/>
      <c r="AE159" s="3"/>
      <c r="AF159" s="3"/>
      <c r="AG159" s="3"/>
      <c r="AH159" s="3"/>
      <c r="AI159" s="3"/>
      <c r="AP159" s="9"/>
    </row>
    <row r="160" ht="15.75" customHeight="1"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C160" s="9"/>
      <c r="AE160" s="3"/>
      <c r="AF160" s="3"/>
      <c r="AG160" s="3"/>
      <c r="AH160" s="3"/>
      <c r="AI160" s="3"/>
      <c r="AP160" s="9"/>
    </row>
    <row r="161" ht="15.75" customHeight="1"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C161" s="9"/>
      <c r="AE161" s="3"/>
      <c r="AF161" s="3"/>
      <c r="AG161" s="3"/>
      <c r="AH161" s="3"/>
      <c r="AI161" s="3"/>
      <c r="AP161" s="9"/>
    </row>
    <row r="162" ht="15.75" customHeight="1"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C162" s="9"/>
      <c r="AE162" s="3"/>
      <c r="AF162" s="3"/>
      <c r="AG162" s="3"/>
      <c r="AH162" s="3"/>
      <c r="AI162" s="3"/>
      <c r="AP162" s="9"/>
    </row>
    <row r="163" ht="15.75" customHeight="1"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C163" s="9"/>
      <c r="AE163" s="3"/>
      <c r="AF163" s="3"/>
      <c r="AG163" s="3"/>
      <c r="AH163" s="3"/>
      <c r="AI163" s="3"/>
      <c r="AP163" s="9"/>
    </row>
    <row r="164" ht="15.75" customHeight="1"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C164" s="9"/>
      <c r="AE164" s="3"/>
      <c r="AF164" s="3"/>
      <c r="AG164" s="3"/>
      <c r="AH164" s="3"/>
      <c r="AI164" s="3"/>
      <c r="AP164" s="9"/>
    </row>
    <row r="165" ht="15.75" customHeight="1"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C165" s="9"/>
      <c r="AE165" s="3"/>
      <c r="AF165" s="3"/>
      <c r="AG165" s="3"/>
      <c r="AH165" s="3"/>
      <c r="AI165" s="3"/>
      <c r="AP165" s="9"/>
    </row>
    <row r="166" ht="15.75" customHeight="1"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C166" s="9"/>
      <c r="AE166" s="3"/>
      <c r="AF166" s="3"/>
      <c r="AG166" s="3"/>
      <c r="AH166" s="3"/>
      <c r="AI166" s="3"/>
      <c r="AP166" s="9"/>
    </row>
    <row r="167" ht="15.75" customHeight="1"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C167" s="9"/>
      <c r="AE167" s="3"/>
      <c r="AF167" s="3"/>
      <c r="AG167" s="3"/>
      <c r="AH167" s="3"/>
      <c r="AI167" s="3"/>
      <c r="AP167" s="9"/>
    </row>
    <row r="168" ht="15.75" customHeight="1"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C168" s="9"/>
      <c r="AE168" s="3"/>
      <c r="AF168" s="3"/>
      <c r="AG168" s="3"/>
      <c r="AH168" s="3"/>
      <c r="AI168" s="3"/>
      <c r="AP168" s="9"/>
    </row>
    <row r="169" ht="15.75" customHeight="1"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C169" s="9"/>
      <c r="AE169" s="3"/>
      <c r="AF169" s="3"/>
      <c r="AG169" s="3"/>
      <c r="AH169" s="3"/>
      <c r="AI169" s="3"/>
      <c r="AP169" s="9"/>
    </row>
    <row r="170" ht="15.75" customHeight="1"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C170" s="9"/>
      <c r="AE170" s="3"/>
      <c r="AF170" s="3"/>
      <c r="AG170" s="3"/>
      <c r="AH170" s="3"/>
      <c r="AI170" s="3"/>
      <c r="AP170" s="9"/>
    </row>
    <row r="171" ht="15.75" customHeight="1"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C171" s="9"/>
      <c r="AE171" s="3"/>
      <c r="AF171" s="3"/>
      <c r="AG171" s="3"/>
      <c r="AH171" s="3"/>
      <c r="AI171" s="3"/>
      <c r="AP171" s="9"/>
    </row>
    <row r="172" ht="15.75" customHeight="1"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C172" s="9"/>
      <c r="AE172" s="3"/>
      <c r="AF172" s="3"/>
      <c r="AG172" s="3"/>
      <c r="AH172" s="3"/>
      <c r="AI172" s="3"/>
      <c r="AP172" s="9"/>
    </row>
    <row r="173" ht="15.75" customHeight="1"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C173" s="9"/>
      <c r="AE173" s="3"/>
      <c r="AF173" s="3"/>
      <c r="AG173" s="3"/>
      <c r="AH173" s="3"/>
      <c r="AI173" s="3"/>
      <c r="AP173" s="9"/>
    </row>
    <row r="174" ht="15.75" customHeight="1"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C174" s="9"/>
      <c r="AE174" s="3"/>
      <c r="AF174" s="3"/>
      <c r="AG174" s="3"/>
      <c r="AH174" s="3"/>
      <c r="AI174" s="3"/>
      <c r="AP174" s="9"/>
    </row>
    <row r="175" ht="15.75" customHeight="1"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C175" s="9"/>
      <c r="AE175" s="3"/>
      <c r="AF175" s="3"/>
      <c r="AG175" s="3"/>
      <c r="AH175" s="3"/>
      <c r="AI175" s="3"/>
      <c r="AP175" s="9"/>
    </row>
    <row r="176" ht="15.75" customHeight="1"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C176" s="9"/>
      <c r="AE176" s="3"/>
      <c r="AF176" s="3"/>
      <c r="AG176" s="3"/>
      <c r="AH176" s="3"/>
      <c r="AI176" s="3"/>
      <c r="AP176" s="9"/>
    </row>
    <row r="177" ht="15.75" customHeight="1"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C177" s="9"/>
      <c r="AE177" s="3"/>
      <c r="AF177" s="3"/>
      <c r="AG177" s="3"/>
      <c r="AH177" s="3"/>
      <c r="AI177" s="3"/>
      <c r="AP177" s="9"/>
    </row>
    <row r="178" ht="15.75" customHeight="1"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C178" s="9"/>
      <c r="AE178" s="3"/>
      <c r="AF178" s="3"/>
      <c r="AG178" s="3"/>
      <c r="AH178" s="3"/>
      <c r="AI178" s="3"/>
      <c r="AP178" s="9"/>
    </row>
    <row r="179" ht="15.75" customHeight="1"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C179" s="9"/>
      <c r="AE179" s="3"/>
      <c r="AF179" s="3"/>
      <c r="AG179" s="3"/>
      <c r="AH179" s="3"/>
      <c r="AI179" s="3"/>
      <c r="AP179" s="9"/>
    </row>
    <row r="180" ht="15.75" customHeight="1"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C180" s="9"/>
      <c r="AE180" s="3"/>
      <c r="AF180" s="3"/>
      <c r="AG180" s="3"/>
      <c r="AH180" s="3"/>
      <c r="AI180" s="3"/>
      <c r="AP180" s="9"/>
    </row>
    <row r="181" ht="15.75" customHeight="1"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C181" s="9"/>
      <c r="AE181" s="3"/>
      <c r="AF181" s="3"/>
      <c r="AG181" s="3"/>
      <c r="AH181" s="3"/>
      <c r="AI181" s="3"/>
      <c r="AP181" s="9"/>
    </row>
    <row r="182" ht="15.75" customHeight="1"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C182" s="9"/>
      <c r="AE182" s="3"/>
      <c r="AF182" s="3"/>
      <c r="AG182" s="3"/>
      <c r="AH182" s="3"/>
      <c r="AI182" s="3"/>
      <c r="AP182" s="9"/>
    </row>
    <row r="183" ht="15.75" customHeight="1"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C183" s="9"/>
      <c r="AE183" s="3"/>
      <c r="AF183" s="3"/>
      <c r="AG183" s="3"/>
      <c r="AH183" s="3"/>
      <c r="AI183" s="3"/>
      <c r="AP183" s="9"/>
    </row>
    <row r="184" ht="15.75" customHeight="1"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C184" s="9"/>
      <c r="AE184" s="3"/>
      <c r="AF184" s="3"/>
      <c r="AG184" s="3"/>
      <c r="AH184" s="3"/>
      <c r="AI184" s="3"/>
      <c r="AP184" s="9"/>
    </row>
    <row r="185" ht="15.75" customHeight="1"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C185" s="9"/>
      <c r="AE185" s="3"/>
      <c r="AF185" s="3"/>
      <c r="AG185" s="3"/>
      <c r="AH185" s="3"/>
      <c r="AI185" s="3"/>
      <c r="AP185" s="9"/>
    </row>
    <row r="186" ht="15.75" customHeight="1"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C186" s="9"/>
      <c r="AE186" s="3"/>
      <c r="AF186" s="3"/>
      <c r="AG186" s="3"/>
      <c r="AH186" s="3"/>
      <c r="AI186" s="3"/>
      <c r="AP186" s="9"/>
    </row>
    <row r="187" ht="15.75" customHeight="1"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C187" s="9"/>
      <c r="AE187" s="3"/>
      <c r="AF187" s="3"/>
      <c r="AG187" s="3"/>
      <c r="AH187" s="3"/>
      <c r="AI187" s="3"/>
      <c r="AP187" s="9"/>
    </row>
    <row r="188" ht="15.75" customHeight="1"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C188" s="9"/>
      <c r="AE188" s="3"/>
      <c r="AF188" s="3"/>
      <c r="AG188" s="3"/>
      <c r="AH188" s="3"/>
      <c r="AI188" s="3"/>
      <c r="AP188" s="9"/>
    </row>
    <row r="189" ht="15.75" customHeight="1"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C189" s="9"/>
      <c r="AE189" s="3"/>
      <c r="AF189" s="3"/>
      <c r="AG189" s="3"/>
      <c r="AH189" s="3"/>
      <c r="AI189" s="3"/>
      <c r="AP189" s="9"/>
    </row>
    <row r="190" ht="15.75" customHeight="1"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C190" s="9"/>
      <c r="AE190" s="3"/>
      <c r="AF190" s="3"/>
      <c r="AG190" s="3"/>
      <c r="AH190" s="3"/>
      <c r="AI190" s="3"/>
      <c r="AP190" s="9"/>
    </row>
    <row r="191" ht="15.75" customHeight="1"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C191" s="9"/>
      <c r="AE191" s="3"/>
      <c r="AF191" s="3"/>
      <c r="AG191" s="3"/>
      <c r="AH191" s="3"/>
      <c r="AI191" s="3"/>
      <c r="AP191" s="9"/>
    </row>
    <row r="192" ht="15.75" customHeight="1"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C192" s="9"/>
      <c r="AE192" s="3"/>
      <c r="AF192" s="3"/>
      <c r="AG192" s="3"/>
      <c r="AH192" s="3"/>
      <c r="AI192" s="3"/>
      <c r="AP192" s="9"/>
    </row>
    <row r="193" ht="15.75" customHeight="1"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C193" s="9"/>
      <c r="AE193" s="3"/>
      <c r="AF193" s="3"/>
      <c r="AG193" s="3"/>
      <c r="AH193" s="3"/>
      <c r="AI193" s="3"/>
      <c r="AP193" s="9"/>
    </row>
    <row r="194" ht="15.75" customHeight="1"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C194" s="9"/>
      <c r="AE194" s="3"/>
      <c r="AF194" s="3"/>
      <c r="AG194" s="3"/>
      <c r="AH194" s="3"/>
      <c r="AI194" s="3"/>
      <c r="AP194" s="9"/>
    </row>
    <row r="195" ht="15.75" customHeight="1"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C195" s="9"/>
      <c r="AE195" s="3"/>
      <c r="AF195" s="3"/>
      <c r="AG195" s="3"/>
      <c r="AH195" s="3"/>
      <c r="AI195" s="3"/>
      <c r="AP195" s="9"/>
    </row>
    <row r="196" ht="15.75" customHeight="1"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C196" s="9"/>
      <c r="AE196" s="3"/>
      <c r="AF196" s="3"/>
      <c r="AG196" s="3"/>
      <c r="AH196" s="3"/>
      <c r="AI196" s="3"/>
      <c r="AP196" s="9"/>
    </row>
    <row r="197" ht="15.75" customHeight="1"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C197" s="9"/>
      <c r="AE197" s="3"/>
      <c r="AF197" s="3"/>
      <c r="AG197" s="3"/>
      <c r="AH197" s="3"/>
      <c r="AI197" s="3"/>
      <c r="AP197" s="9"/>
    </row>
    <row r="198" ht="15.75" customHeight="1"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C198" s="9"/>
      <c r="AE198" s="3"/>
      <c r="AF198" s="3"/>
      <c r="AG198" s="3"/>
      <c r="AH198" s="3"/>
      <c r="AI198" s="3"/>
      <c r="AP198" s="9"/>
    </row>
    <row r="199" ht="15.75" customHeight="1"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C199" s="9"/>
      <c r="AE199" s="3"/>
      <c r="AF199" s="3"/>
      <c r="AG199" s="3"/>
      <c r="AH199" s="3"/>
      <c r="AI199" s="3"/>
      <c r="AP199" s="9"/>
    </row>
    <row r="200" ht="15.75" customHeight="1"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C200" s="9"/>
      <c r="AE200" s="3"/>
      <c r="AF200" s="3"/>
      <c r="AG200" s="3"/>
      <c r="AH200" s="3"/>
      <c r="AI200" s="3"/>
      <c r="AP200" s="9"/>
    </row>
    <row r="201" ht="15.75" customHeight="1"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C201" s="9"/>
      <c r="AE201" s="3"/>
      <c r="AF201" s="3"/>
      <c r="AG201" s="3"/>
      <c r="AH201" s="3"/>
      <c r="AI201" s="3"/>
      <c r="AP201" s="9"/>
    </row>
    <row r="202" ht="15.75" customHeight="1"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C202" s="9"/>
      <c r="AE202" s="3"/>
      <c r="AF202" s="3"/>
      <c r="AG202" s="3"/>
      <c r="AH202" s="3"/>
      <c r="AI202" s="3"/>
      <c r="AP202" s="9"/>
    </row>
    <row r="203" ht="15.75" customHeight="1"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C203" s="9"/>
      <c r="AE203" s="3"/>
      <c r="AF203" s="3"/>
      <c r="AG203" s="3"/>
      <c r="AH203" s="3"/>
      <c r="AI203" s="3"/>
      <c r="AP203" s="9"/>
    </row>
    <row r="204" ht="15.75" customHeight="1"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C204" s="9"/>
      <c r="AE204" s="3"/>
      <c r="AF204" s="3"/>
      <c r="AG204" s="3"/>
      <c r="AH204" s="3"/>
      <c r="AI204" s="3"/>
      <c r="AP204" s="9"/>
    </row>
    <row r="205" ht="15.75" customHeight="1"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C205" s="9"/>
      <c r="AE205" s="3"/>
      <c r="AF205" s="3"/>
      <c r="AG205" s="3"/>
      <c r="AH205" s="3"/>
      <c r="AI205" s="3"/>
      <c r="AP205" s="9"/>
    </row>
    <row r="206" ht="15.75" customHeight="1"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C206" s="9"/>
      <c r="AE206" s="3"/>
      <c r="AF206" s="3"/>
      <c r="AG206" s="3"/>
      <c r="AH206" s="3"/>
      <c r="AI206" s="3"/>
      <c r="AP206" s="9"/>
    </row>
    <row r="207" ht="15.75" customHeight="1"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C207" s="9"/>
      <c r="AE207" s="3"/>
      <c r="AF207" s="3"/>
      <c r="AG207" s="3"/>
      <c r="AH207" s="3"/>
      <c r="AI207" s="3"/>
      <c r="AP207" s="9"/>
    </row>
    <row r="208" ht="15.75" customHeight="1"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C208" s="9"/>
      <c r="AE208" s="3"/>
      <c r="AF208" s="3"/>
      <c r="AG208" s="3"/>
      <c r="AH208" s="3"/>
      <c r="AI208" s="3"/>
      <c r="AP208" s="9"/>
    </row>
    <row r="209" ht="15.75" customHeight="1"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C209" s="9"/>
      <c r="AE209" s="3"/>
      <c r="AF209" s="3"/>
      <c r="AG209" s="3"/>
      <c r="AH209" s="3"/>
      <c r="AI209" s="3"/>
      <c r="AP209" s="9"/>
    </row>
    <row r="210" ht="15.75" customHeight="1"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C210" s="9"/>
      <c r="AE210" s="3"/>
      <c r="AF210" s="3"/>
      <c r="AG210" s="3"/>
      <c r="AH210" s="3"/>
      <c r="AI210" s="3"/>
      <c r="AP210" s="9"/>
    </row>
    <row r="211" ht="15.75" customHeight="1"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C211" s="9"/>
      <c r="AE211" s="3"/>
      <c r="AF211" s="3"/>
      <c r="AG211" s="3"/>
      <c r="AH211" s="3"/>
      <c r="AI211" s="3"/>
      <c r="AP211" s="9"/>
    </row>
    <row r="212" ht="15.75" customHeight="1"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C212" s="9"/>
      <c r="AE212" s="3"/>
      <c r="AF212" s="3"/>
      <c r="AG212" s="3"/>
      <c r="AH212" s="3"/>
      <c r="AI212" s="3"/>
      <c r="AP212" s="9"/>
    </row>
    <row r="213" ht="15.75" customHeight="1"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C213" s="9"/>
      <c r="AE213" s="3"/>
      <c r="AF213" s="3"/>
      <c r="AG213" s="3"/>
      <c r="AH213" s="3"/>
      <c r="AI213" s="3"/>
      <c r="AP213" s="9"/>
    </row>
    <row r="214" ht="15.75" customHeight="1"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C214" s="9"/>
      <c r="AE214" s="3"/>
      <c r="AF214" s="3"/>
      <c r="AG214" s="3"/>
      <c r="AH214" s="3"/>
      <c r="AI214" s="3"/>
      <c r="AP214" s="9"/>
    </row>
    <row r="215" ht="15.75" customHeight="1"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C215" s="9"/>
      <c r="AE215" s="3"/>
      <c r="AF215" s="3"/>
      <c r="AG215" s="3"/>
      <c r="AH215" s="3"/>
      <c r="AI215" s="3"/>
      <c r="AP215" s="9"/>
    </row>
    <row r="216" ht="15.75" customHeight="1"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C216" s="9"/>
      <c r="AE216" s="3"/>
      <c r="AF216" s="3"/>
      <c r="AG216" s="3"/>
      <c r="AH216" s="3"/>
      <c r="AI216" s="3"/>
      <c r="AP216" s="9"/>
    </row>
    <row r="217" ht="15.75" customHeight="1"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C217" s="9"/>
      <c r="AE217" s="3"/>
      <c r="AF217" s="3"/>
      <c r="AG217" s="3"/>
      <c r="AH217" s="3"/>
      <c r="AI217" s="3"/>
      <c r="AP217" s="9"/>
    </row>
    <row r="218" ht="15.75" customHeight="1"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C218" s="9"/>
      <c r="AE218" s="3"/>
      <c r="AF218" s="3"/>
      <c r="AG218" s="3"/>
      <c r="AH218" s="3"/>
      <c r="AI218" s="3"/>
      <c r="AP218" s="9"/>
    </row>
    <row r="219" ht="15.75" customHeight="1"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C219" s="9"/>
      <c r="AE219" s="3"/>
      <c r="AF219" s="3"/>
      <c r="AG219" s="3"/>
      <c r="AH219" s="3"/>
      <c r="AI219" s="3"/>
      <c r="AP219" s="9"/>
    </row>
    <row r="220" ht="15.75" customHeight="1"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C220" s="9"/>
      <c r="AE220" s="3"/>
      <c r="AF220" s="3"/>
      <c r="AG220" s="3"/>
      <c r="AH220" s="3"/>
      <c r="AI220" s="3"/>
      <c r="AP220" s="9"/>
    </row>
    <row r="221" ht="15.75" customHeight="1"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C221" s="9"/>
      <c r="AE221" s="3"/>
      <c r="AF221" s="3"/>
      <c r="AG221" s="3"/>
      <c r="AH221" s="3"/>
      <c r="AI221" s="3"/>
      <c r="AP221" s="9"/>
    </row>
    <row r="222" ht="15.75" customHeight="1"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C222" s="9"/>
      <c r="AE222" s="3"/>
      <c r="AF222" s="3"/>
      <c r="AG222" s="3"/>
      <c r="AH222" s="3"/>
      <c r="AI222" s="3"/>
      <c r="AP222" s="9"/>
    </row>
    <row r="223" ht="15.75" customHeight="1"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C223" s="9"/>
      <c r="AE223" s="3"/>
      <c r="AF223" s="3"/>
      <c r="AG223" s="3"/>
      <c r="AH223" s="3"/>
      <c r="AI223" s="3"/>
      <c r="AP223" s="9"/>
    </row>
    <row r="224" ht="15.75" customHeight="1"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C224" s="9"/>
      <c r="AE224" s="3"/>
      <c r="AF224" s="3"/>
      <c r="AG224" s="3"/>
      <c r="AH224" s="3"/>
      <c r="AI224" s="3"/>
      <c r="AP224" s="9"/>
    </row>
    <row r="225" ht="15.75" customHeight="1"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C225" s="9"/>
      <c r="AE225" s="3"/>
      <c r="AF225" s="3"/>
      <c r="AG225" s="3"/>
      <c r="AH225" s="3"/>
      <c r="AI225" s="3"/>
      <c r="AP225" s="9"/>
    </row>
    <row r="226" ht="15.75" customHeight="1"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C226" s="9"/>
      <c r="AE226" s="3"/>
      <c r="AF226" s="3"/>
      <c r="AG226" s="3"/>
      <c r="AH226" s="3"/>
      <c r="AI226" s="3"/>
      <c r="AP226" s="9"/>
    </row>
    <row r="227" ht="15.75" customHeight="1"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C227" s="9"/>
      <c r="AE227" s="3"/>
      <c r="AF227" s="3"/>
      <c r="AG227" s="3"/>
      <c r="AH227" s="3"/>
      <c r="AI227" s="3"/>
      <c r="AP227" s="9"/>
    </row>
    <row r="228" ht="15.75" customHeight="1"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C228" s="9"/>
      <c r="AE228" s="3"/>
      <c r="AF228" s="3"/>
      <c r="AG228" s="3"/>
      <c r="AH228" s="3"/>
      <c r="AI228" s="3"/>
      <c r="AP228" s="9"/>
    </row>
    <row r="229" ht="15.75" customHeight="1"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C229" s="9"/>
      <c r="AE229" s="3"/>
      <c r="AF229" s="3"/>
      <c r="AG229" s="3"/>
      <c r="AH229" s="3"/>
      <c r="AI229" s="3"/>
      <c r="AP229" s="9"/>
    </row>
    <row r="230" ht="15.75" customHeight="1"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C230" s="9"/>
      <c r="AE230" s="3"/>
      <c r="AF230" s="3"/>
      <c r="AG230" s="3"/>
      <c r="AH230" s="3"/>
      <c r="AI230" s="3"/>
      <c r="AP230" s="9"/>
    </row>
    <row r="231" ht="15.75" customHeight="1"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C231" s="9"/>
      <c r="AE231" s="3"/>
      <c r="AF231" s="3"/>
      <c r="AG231" s="3"/>
      <c r="AH231" s="3"/>
      <c r="AI231" s="3"/>
      <c r="AP231" s="9"/>
    </row>
    <row r="232" ht="15.75" customHeight="1"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C232" s="9"/>
      <c r="AE232" s="3"/>
      <c r="AF232" s="3"/>
      <c r="AG232" s="3"/>
      <c r="AH232" s="3"/>
      <c r="AI232" s="3"/>
      <c r="AP232" s="9"/>
    </row>
    <row r="233" ht="15.75" customHeight="1"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C233" s="9"/>
      <c r="AE233" s="3"/>
      <c r="AF233" s="3"/>
      <c r="AG233" s="3"/>
      <c r="AH233" s="3"/>
      <c r="AI233" s="3"/>
      <c r="AP233" s="9"/>
    </row>
    <row r="234" ht="15.75" customHeight="1"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C234" s="9"/>
      <c r="AE234" s="3"/>
      <c r="AF234" s="3"/>
      <c r="AG234" s="3"/>
      <c r="AH234" s="3"/>
      <c r="AI234" s="3"/>
      <c r="AP234" s="9"/>
    </row>
    <row r="235" ht="15.75" customHeight="1"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C235" s="9"/>
      <c r="AE235" s="3"/>
      <c r="AF235" s="3"/>
      <c r="AG235" s="3"/>
      <c r="AH235" s="3"/>
      <c r="AI235" s="3"/>
      <c r="AP235" s="9"/>
    </row>
    <row r="236" ht="15.75" customHeight="1"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C236" s="9"/>
      <c r="AE236" s="3"/>
      <c r="AF236" s="3"/>
      <c r="AG236" s="3"/>
      <c r="AH236" s="3"/>
      <c r="AI236" s="3"/>
      <c r="AP236" s="9"/>
    </row>
    <row r="237" ht="15.75" customHeight="1"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C237" s="9"/>
      <c r="AE237" s="3"/>
      <c r="AF237" s="3"/>
      <c r="AG237" s="3"/>
      <c r="AH237" s="3"/>
      <c r="AI237" s="3"/>
      <c r="AP237" s="9"/>
    </row>
    <row r="238" ht="15.75" customHeight="1"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C238" s="9"/>
      <c r="AE238" s="3"/>
      <c r="AF238" s="3"/>
      <c r="AG238" s="3"/>
      <c r="AH238" s="3"/>
      <c r="AI238" s="3"/>
      <c r="AP238" s="9"/>
    </row>
    <row r="239" ht="15.75" customHeight="1"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C239" s="9"/>
      <c r="AE239" s="3"/>
      <c r="AF239" s="3"/>
      <c r="AG239" s="3"/>
      <c r="AH239" s="3"/>
      <c r="AI239" s="3"/>
      <c r="AP239" s="9"/>
    </row>
    <row r="240" ht="15.75" customHeight="1"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C240" s="9"/>
      <c r="AE240" s="3"/>
      <c r="AF240" s="3"/>
      <c r="AG240" s="3"/>
      <c r="AH240" s="3"/>
      <c r="AI240" s="3"/>
      <c r="AP240" s="9"/>
    </row>
    <row r="241" ht="15.75" customHeight="1"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C241" s="9"/>
      <c r="AE241" s="3"/>
      <c r="AF241" s="3"/>
      <c r="AG241" s="3"/>
      <c r="AH241" s="3"/>
      <c r="AI241" s="3"/>
      <c r="AP241" s="9"/>
    </row>
    <row r="242" ht="15.75" customHeight="1"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C242" s="9"/>
      <c r="AE242" s="3"/>
      <c r="AF242" s="3"/>
      <c r="AG242" s="3"/>
      <c r="AH242" s="3"/>
      <c r="AI242" s="3"/>
      <c r="AP242" s="9"/>
    </row>
    <row r="243" ht="15.75" customHeight="1"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C243" s="9"/>
      <c r="AE243" s="3"/>
      <c r="AF243" s="3"/>
      <c r="AG243" s="3"/>
      <c r="AH243" s="3"/>
      <c r="AI243" s="3"/>
      <c r="AP243" s="9"/>
    </row>
    <row r="244" ht="15.75" customHeight="1"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C244" s="9"/>
      <c r="AE244" s="3"/>
      <c r="AF244" s="3"/>
      <c r="AG244" s="3"/>
      <c r="AH244" s="3"/>
      <c r="AI244" s="3"/>
      <c r="AP244" s="9"/>
    </row>
    <row r="245" ht="15.75" customHeight="1"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C245" s="9"/>
      <c r="AE245" s="3"/>
      <c r="AF245" s="3"/>
      <c r="AG245" s="3"/>
      <c r="AH245" s="3"/>
      <c r="AI245" s="3"/>
      <c r="AP245" s="9"/>
    </row>
    <row r="246" ht="15.75" customHeight="1"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C246" s="9"/>
      <c r="AE246" s="3"/>
      <c r="AF246" s="3"/>
      <c r="AG246" s="3"/>
      <c r="AH246" s="3"/>
      <c r="AI246" s="3"/>
      <c r="AP246" s="9"/>
    </row>
    <row r="247" ht="15.75" customHeight="1"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C247" s="9"/>
      <c r="AE247" s="3"/>
      <c r="AF247" s="3"/>
      <c r="AG247" s="3"/>
      <c r="AH247" s="3"/>
      <c r="AI247" s="3"/>
      <c r="AP247" s="9"/>
    </row>
    <row r="248" ht="15.75" customHeight="1"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C248" s="9"/>
      <c r="AE248" s="3"/>
      <c r="AF248" s="3"/>
      <c r="AG248" s="3"/>
      <c r="AH248" s="3"/>
      <c r="AI248" s="3"/>
      <c r="AP248" s="9"/>
    </row>
    <row r="249" ht="15.75" customHeight="1"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C249" s="9"/>
      <c r="AE249" s="3"/>
      <c r="AF249" s="3"/>
      <c r="AG249" s="3"/>
      <c r="AH249" s="3"/>
      <c r="AI249" s="3"/>
      <c r="AP249" s="9"/>
    </row>
    <row r="250" ht="15.75" customHeight="1"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C250" s="9"/>
      <c r="AE250" s="3"/>
      <c r="AF250" s="3"/>
      <c r="AG250" s="3"/>
      <c r="AH250" s="3"/>
      <c r="AI250" s="3"/>
      <c r="AP250" s="9"/>
    </row>
    <row r="251" ht="15.75" customHeight="1"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C251" s="9"/>
      <c r="AE251" s="3"/>
      <c r="AF251" s="3"/>
      <c r="AG251" s="3"/>
      <c r="AH251" s="3"/>
      <c r="AI251" s="3"/>
      <c r="AP251" s="9"/>
    </row>
    <row r="252" ht="15.75" customHeight="1"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C252" s="9"/>
      <c r="AE252" s="3"/>
      <c r="AF252" s="3"/>
      <c r="AG252" s="3"/>
      <c r="AH252" s="3"/>
      <c r="AI252" s="3"/>
      <c r="AP252" s="9"/>
    </row>
    <row r="253" ht="15.75" customHeight="1"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C253" s="9"/>
      <c r="AE253" s="3"/>
      <c r="AF253" s="3"/>
      <c r="AG253" s="3"/>
      <c r="AH253" s="3"/>
      <c r="AI253" s="3"/>
      <c r="AP253" s="9"/>
    </row>
    <row r="254" ht="15.75" customHeight="1"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C254" s="9"/>
      <c r="AE254" s="3"/>
      <c r="AF254" s="3"/>
      <c r="AG254" s="3"/>
      <c r="AH254" s="3"/>
      <c r="AI254" s="3"/>
      <c r="AP254" s="9"/>
    </row>
    <row r="255" ht="15.75" customHeight="1"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C255" s="9"/>
      <c r="AE255" s="3"/>
      <c r="AF255" s="3"/>
      <c r="AG255" s="3"/>
      <c r="AH255" s="3"/>
      <c r="AI255" s="3"/>
      <c r="AP255" s="9"/>
    </row>
    <row r="256" ht="15.75" customHeight="1"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C256" s="9"/>
      <c r="AE256" s="3"/>
      <c r="AF256" s="3"/>
      <c r="AG256" s="3"/>
      <c r="AH256" s="3"/>
      <c r="AI256" s="3"/>
      <c r="AP256" s="9"/>
    </row>
    <row r="257" ht="15.75" customHeight="1"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C257" s="9"/>
      <c r="AE257" s="3"/>
      <c r="AF257" s="3"/>
      <c r="AG257" s="3"/>
      <c r="AH257" s="3"/>
      <c r="AI257" s="3"/>
      <c r="AP257" s="9"/>
    </row>
    <row r="258" ht="15.75" customHeight="1"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C258" s="9"/>
      <c r="AE258" s="3"/>
      <c r="AF258" s="3"/>
      <c r="AG258" s="3"/>
      <c r="AH258" s="3"/>
      <c r="AI258" s="3"/>
      <c r="AP258" s="9"/>
    </row>
    <row r="259" ht="15.75" customHeight="1"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C259" s="9"/>
      <c r="AE259" s="3"/>
      <c r="AF259" s="3"/>
      <c r="AG259" s="3"/>
      <c r="AH259" s="3"/>
      <c r="AI259" s="3"/>
      <c r="AP259" s="9"/>
    </row>
    <row r="260" ht="15.75" customHeight="1"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C260" s="9"/>
      <c r="AE260" s="3"/>
      <c r="AF260" s="3"/>
      <c r="AG260" s="3"/>
      <c r="AH260" s="3"/>
      <c r="AI260" s="3"/>
      <c r="AP260" s="9"/>
    </row>
    <row r="261" ht="15.75" customHeight="1"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C261" s="9"/>
      <c r="AE261" s="3"/>
      <c r="AF261" s="3"/>
      <c r="AG261" s="3"/>
      <c r="AH261" s="3"/>
      <c r="AI261" s="3"/>
      <c r="AP261" s="9"/>
    </row>
    <row r="262" ht="15.75" customHeight="1"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C262" s="9"/>
      <c r="AE262" s="3"/>
      <c r="AF262" s="3"/>
      <c r="AG262" s="3"/>
      <c r="AH262" s="3"/>
      <c r="AI262" s="3"/>
      <c r="AP262" s="9"/>
    </row>
    <row r="263" ht="15.75" customHeight="1"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C263" s="9"/>
      <c r="AE263" s="3"/>
      <c r="AF263" s="3"/>
      <c r="AG263" s="3"/>
      <c r="AH263" s="3"/>
      <c r="AI263" s="3"/>
      <c r="AP263" s="9"/>
    </row>
    <row r="264" ht="15.75" customHeight="1"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C264" s="9"/>
      <c r="AE264" s="3"/>
      <c r="AF264" s="3"/>
      <c r="AG264" s="3"/>
      <c r="AH264" s="3"/>
      <c r="AI264" s="3"/>
      <c r="AP264" s="9"/>
    </row>
    <row r="265" ht="15.75" customHeight="1"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C265" s="9"/>
      <c r="AE265" s="3"/>
      <c r="AF265" s="3"/>
      <c r="AG265" s="3"/>
      <c r="AH265" s="3"/>
      <c r="AI265" s="3"/>
      <c r="AP265" s="9"/>
    </row>
    <row r="266" ht="15.75" customHeight="1"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C266" s="9"/>
      <c r="AE266" s="3"/>
      <c r="AF266" s="3"/>
      <c r="AG266" s="3"/>
      <c r="AH266" s="3"/>
      <c r="AI266" s="3"/>
      <c r="AP266" s="9"/>
    </row>
    <row r="267" ht="15.75" customHeight="1"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C267" s="9"/>
      <c r="AE267" s="3"/>
      <c r="AF267" s="3"/>
      <c r="AG267" s="3"/>
      <c r="AH267" s="3"/>
      <c r="AI267" s="3"/>
      <c r="AP267" s="9"/>
    </row>
    <row r="268" ht="15.75" customHeight="1"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C268" s="9"/>
      <c r="AE268" s="3"/>
      <c r="AF268" s="3"/>
      <c r="AG268" s="3"/>
      <c r="AH268" s="3"/>
      <c r="AI268" s="3"/>
      <c r="AP268" s="9"/>
    </row>
    <row r="269" ht="15.75" customHeight="1"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C269" s="9"/>
      <c r="AE269" s="3"/>
      <c r="AF269" s="3"/>
      <c r="AG269" s="3"/>
      <c r="AH269" s="3"/>
      <c r="AI269" s="3"/>
      <c r="AP269" s="9"/>
    </row>
    <row r="270" ht="15.75" customHeight="1"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C270" s="9"/>
      <c r="AE270" s="3"/>
      <c r="AF270" s="3"/>
      <c r="AG270" s="3"/>
      <c r="AH270" s="3"/>
      <c r="AI270" s="3"/>
      <c r="AP270" s="9"/>
    </row>
    <row r="271" ht="15.75" customHeight="1"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C271" s="9"/>
      <c r="AE271" s="3"/>
      <c r="AF271" s="3"/>
      <c r="AG271" s="3"/>
      <c r="AH271" s="3"/>
      <c r="AI271" s="3"/>
      <c r="AP271" s="9"/>
    </row>
    <row r="272" ht="15.75" customHeight="1"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C272" s="9"/>
      <c r="AE272" s="3"/>
      <c r="AF272" s="3"/>
      <c r="AG272" s="3"/>
      <c r="AH272" s="3"/>
      <c r="AI272" s="3"/>
      <c r="AP272" s="9"/>
    </row>
    <row r="273" ht="15.75" customHeight="1"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C273" s="9"/>
      <c r="AE273" s="3"/>
      <c r="AF273" s="3"/>
      <c r="AG273" s="3"/>
      <c r="AH273" s="3"/>
      <c r="AI273" s="3"/>
      <c r="AP273" s="9"/>
    </row>
    <row r="274" ht="15.75" customHeight="1"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C274" s="9"/>
      <c r="AE274" s="3"/>
      <c r="AF274" s="3"/>
      <c r="AG274" s="3"/>
      <c r="AH274" s="3"/>
      <c r="AI274" s="3"/>
      <c r="AP274" s="9"/>
    </row>
    <row r="275" ht="15.75" customHeight="1"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C275" s="9"/>
      <c r="AE275" s="3"/>
      <c r="AF275" s="3"/>
      <c r="AG275" s="3"/>
      <c r="AH275" s="3"/>
      <c r="AI275" s="3"/>
      <c r="AP275" s="9"/>
    </row>
    <row r="276" ht="15.75" customHeight="1"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C276" s="9"/>
      <c r="AE276" s="3"/>
      <c r="AF276" s="3"/>
      <c r="AG276" s="3"/>
      <c r="AH276" s="3"/>
      <c r="AI276" s="3"/>
      <c r="AP276" s="9"/>
    </row>
    <row r="277" ht="15.75" customHeight="1"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C277" s="9"/>
      <c r="AE277" s="3"/>
      <c r="AF277" s="3"/>
      <c r="AG277" s="3"/>
      <c r="AH277" s="3"/>
      <c r="AI277" s="3"/>
      <c r="AP277" s="9"/>
    </row>
    <row r="278" ht="15.75" customHeight="1"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C278" s="9"/>
      <c r="AE278" s="3"/>
      <c r="AF278" s="3"/>
      <c r="AG278" s="3"/>
      <c r="AH278" s="3"/>
      <c r="AI278" s="3"/>
      <c r="AP278" s="9"/>
    </row>
    <row r="279" ht="15.75" customHeight="1"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C279" s="9"/>
      <c r="AE279" s="3"/>
      <c r="AF279" s="3"/>
      <c r="AG279" s="3"/>
      <c r="AH279" s="3"/>
      <c r="AI279" s="3"/>
      <c r="AP279" s="9"/>
    </row>
    <row r="280" ht="15.75" customHeight="1"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C280" s="9"/>
      <c r="AE280" s="3"/>
      <c r="AF280" s="3"/>
      <c r="AG280" s="3"/>
      <c r="AH280" s="3"/>
      <c r="AI280" s="3"/>
      <c r="AP280" s="9"/>
    </row>
    <row r="281" ht="15.75" customHeight="1"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C281" s="9"/>
      <c r="AE281" s="3"/>
      <c r="AF281" s="3"/>
      <c r="AG281" s="3"/>
      <c r="AH281" s="3"/>
      <c r="AI281" s="3"/>
      <c r="AP281" s="9"/>
    </row>
    <row r="282" ht="15.75" customHeight="1"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C282" s="9"/>
      <c r="AE282" s="3"/>
      <c r="AF282" s="3"/>
      <c r="AG282" s="3"/>
      <c r="AH282" s="3"/>
      <c r="AI282" s="3"/>
      <c r="AP282" s="9"/>
    </row>
    <row r="283" ht="15.75" customHeight="1"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C283" s="9"/>
      <c r="AE283" s="3"/>
      <c r="AF283" s="3"/>
      <c r="AG283" s="3"/>
      <c r="AH283" s="3"/>
      <c r="AI283" s="3"/>
      <c r="AP283" s="9"/>
    </row>
    <row r="284" ht="15.75" customHeight="1"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C284" s="9"/>
      <c r="AE284" s="3"/>
      <c r="AF284" s="3"/>
      <c r="AG284" s="3"/>
      <c r="AH284" s="3"/>
      <c r="AI284" s="3"/>
      <c r="AP284" s="9"/>
    </row>
    <row r="285" ht="15.75" customHeight="1"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C285" s="9"/>
      <c r="AE285" s="3"/>
      <c r="AF285" s="3"/>
      <c r="AG285" s="3"/>
      <c r="AH285" s="3"/>
      <c r="AI285" s="3"/>
      <c r="AP285" s="9"/>
    </row>
    <row r="286" ht="15.75" customHeight="1"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C286" s="9"/>
      <c r="AE286" s="3"/>
      <c r="AF286" s="3"/>
      <c r="AG286" s="3"/>
      <c r="AH286" s="3"/>
      <c r="AI286" s="3"/>
      <c r="AP286" s="9"/>
    </row>
    <row r="287" ht="15.75" customHeight="1"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C287" s="9"/>
      <c r="AE287" s="3"/>
      <c r="AF287" s="3"/>
      <c r="AG287" s="3"/>
      <c r="AH287" s="3"/>
      <c r="AI287" s="3"/>
      <c r="AP287" s="9"/>
    </row>
    <row r="288" ht="15.75" customHeight="1"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C288" s="9"/>
      <c r="AE288" s="3"/>
      <c r="AF288" s="3"/>
      <c r="AG288" s="3"/>
      <c r="AH288" s="3"/>
      <c r="AI288" s="3"/>
      <c r="AP288" s="9"/>
    </row>
    <row r="289" ht="15.75" customHeight="1"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C289" s="9"/>
      <c r="AE289" s="3"/>
      <c r="AF289" s="3"/>
      <c r="AG289" s="3"/>
      <c r="AH289" s="3"/>
      <c r="AI289" s="3"/>
      <c r="AP289" s="9"/>
    </row>
    <row r="290" ht="15.75" customHeight="1"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C290" s="9"/>
      <c r="AE290" s="3"/>
      <c r="AF290" s="3"/>
      <c r="AG290" s="3"/>
      <c r="AH290" s="3"/>
      <c r="AI290" s="3"/>
      <c r="AP290" s="9"/>
    </row>
    <row r="291" ht="15.75" customHeight="1"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C291" s="9"/>
      <c r="AE291" s="3"/>
      <c r="AF291" s="3"/>
      <c r="AG291" s="3"/>
      <c r="AH291" s="3"/>
      <c r="AI291" s="3"/>
      <c r="AP291" s="9"/>
    </row>
    <row r="292" ht="15.75" customHeight="1"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C292" s="9"/>
      <c r="AE292" s="3"/>
      <c r="AF292" s="3"/>
      <c r="AG292" s="3"/>
      <c r="AH292" s="3"/>
      <c r="AI292" s="3"/>
      <c r="AP292" s="9"/>
    </row>
    <row r="293" ht="15.75" customHeight="1"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C293" s="9"/>
      <c r="AE293" s="3"/>
      <c r="AF293" s="3"/>
      <c r="AG293" s="3"/>
      <c r="AH293" s="3"/>
      <c r="AI293" s="3"/>
      <c r="AP293" s="9"/>
    </row>
    <row r="294" ht="15.75" customHeight="1"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C294" s="9"/>
      <c r="AE294" s="3"/>
      <c r="AF294" s="3"/>
      <c r="AG294" s="3"/>
      <c r="AH294" s="3"/>
      <c r="AI294" s="3"/>
      <c r="AP294" s="9"/>
    </row>
    <row r="295" ht="15.75" customHeight="1"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C295" s="9"/>
      <c r="AE295" s="3"/>
      <c r="AF295" s="3"/>
      <c r="AG295" s="3"/>
      <c r="AH295" s="3"/>
      <c r="AI295" s="3"/>
      <c r="AP295" s="9"/>
    </row>
    <row r="296" ht="15.75" customHeight="1"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C296" s="9"/>
      <c r="AE296" s="3"/>
      <c r="AF296" s="3"/>
      <c r="AG296" s="3"/>
      <c r="AH296" s="3"/>
      <c r="AI296" s="3"/>
      <c r="AP296" s="9"/>
    </row>
    <row r="297" ht="15.75" customHeight="1"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C297" s="9"/>
      <c r="AE297" s="3"/>
      <c r="AF297" s="3"/>
      <c r="AG297" s="3"/>
      <c r="AH297" s="3"/>
      <c r="AI297" s="3"/>
      <c r="AP297" s="9"/>
    </row>
    <row r="298" ht="15.75" customHeight="1"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C298" s="9"/>
      <c r="AE298" s="3"/>
      <c r="AF298" s="3"/>
      <c r="AG298" s="3"/>
      <c r="AH298" s="3"/>
      <c r="AI298" s="3"/>
      <c r="AP298" s="9"/>
    </row>
    <row r="299" ht="15.75" customHeight="1"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C299" s="9"/>
      <c r="AE299" s="3"/>
      <c r="AF299" s="3"/>
      <c r="AG299" s="3"/>
      <c r="AH299" s="3"/>
      <c r="AI299" s="3"/>
      <c r="AP299" s="9"/>
    </row>
    <row r="300" ht="15.75" customHeight="1"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C300" s="9"/>
      <c r="AE300" s="3"/>
      <c r="AF300" s="3"/>
      <c r="AG300" s="3"/>
      <c r="AH300" s="3"/>
      <c r="AI300" s="3"/>
      <c r="AP300" s="9"/>
    </row>
    <row r="301" ht="15.75" customHeight="1"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C301" s="9"/>
      <c r="AE301" s="3"/>
      <c r="AF301" s="3"/>
      <c r="AG301" s="3"/>
      <c r="AH301" s="3"/>
      <c r="AI301" s="3"/>
      <c r="AP301" s="9"/>
    </row>
    <row r="302" ht="15.75" customHeight="1"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C302" s="9"/>
      <c r="AE302" s="3"/>
      <c r="AF302" s="3"/>
      <c r="AG302" s="3"/>
      <c r="AH302" s="3"/>
      <c r="AI302" s="3"/>
      <c r="AP302" s="9"/>
    </row>
    <row r="303" ht="15.75" customHeight="1"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C303" s="9"/>
      <c r="AE303" s="3"/>
      <c r="AF303" s="3"/>
      <c r="AG303" s="3"/>
      <c r="AH303" s="3"/>
      <c r="AI303" s="3"/>
      <c r="AP303" s="9"/>
    </row>
    <row r="304" ht="15.75" customHeight="1"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C304" s="9"/>
      <c r="AE304" s="3"/>
      <c r="AF304" s="3"/>
      <c r="AG304" s="3"/>
      <c r="AH304" s="3"/>
      <c r="AI304" s="3"/>
      <c r="AP304" s="9"/>
    </row>
    <row r="305" ht="15.75" customHeight="1"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C305" s="9"/>
      <c r="AE305" s="3"/>
      <c r="AF305" s="3"/>
      <c r="AG305" s="3"/>
      <c r="AH305" s="3"/>
      <c r="AI305" s="3"/>
      <c r="AP305" s="9"/>
    </row>
    <row r="306" ht="15.75" customHeight="1"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C306" s="9"/>
      <c r="AE306" s="3"/>
      <c r="AF306" s="3"/>
      <c r="AG306" s="3"/>
      <c r="AH306" s="3"/>
      <c r="AI306" s="3"/>
      <c r="AP306" s="9"/>
    </row>
    <row r="307" ht="15.75" customHeight="1"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C307" s="9"/>
      <c r="AE307" s="3"/>
      <c r="AF307" s="3"/>
      <c r="AG307" s="3"/>
      <c r="AH307" s="3"/>
      <c r="AI307" s="3"/>
      <c r="AP307" s="9"/>
    </row>
    <row r="308" ht="15.75" customHeight="1"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C308" s="9"/>
      <c r="AE308" s="3"/>
      <c r="AF308" s="3"/>
      <c r="AG308" s="3"/>
      <c r="AH308" s="3"/>
      <c r="AI308" s="3"/>
      <c r="AP308" s="9"/>
    </row>
    <row r="309" ht="15.75" customHeight="1"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C309" s="9"/>
      <c r="AE309" s="3"/>
      <c r="AF309" s="3"/>
      <c r="AG309" s="3"/>
      <c r="AH309" s="3"/>
      <c r="AI309" s="3"/>
      <c r="AP309" s="9"/>
    </row>
    <row r="310" ht="15.75" customHeight="1"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C310" s="9"/>
      <c r="AE310" s="3"/>
      <c r="AF310" s="3"/>
      <c r="AG310" s="3"/>
      <c r="AH310" s="3"/>
      <c r="AI310" s="3"/>
      <c r="AP310" s="9"/>
    </row>
    <row r="311" ht="15.75" customHeight="1"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C311" s="9"/>
      <c r="AE311" s="3"/>
      <c r="AF311" s="3"/>
      <c r="AG311" s="3"/>
      <c r="AH311" s="3"/>
      <c r="AI311" s="3"/>
      <c r="AP311" s="9"/>
    </row>
    <row r="312" ht="15.75" customHeight="1"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C312" s="9"/>
      <c r="AE312" s="3"/>
      <c r="AF312" s="3"/>
      <c r="AG312" s="3"/>
      <c r="AH312" s="3"/>
      <c r="AI312" s="3"/>
      <c r="AP312" s="9"/>
    </row>
    <row r="313" ht="15.75" customHeight="1"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C313" s="9"/>
      <c r="AE313" s="3"/>
      <c r="AF313" s="3"/>
      <c r="AG313" s="3"/>
      <c r="AH313" s="3"/>
      <c r="AI313" s="3"/>
      <c r="AP313" s="9"/>
    </row>
    <row r="314" ht="15.75" customHeight="1"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C314" s="9"/>
      <c r="AE314" s="3"/>
      <c r="AF314" s="3"/>
      <c r="AG314" s="3"/>
      <c r="AH314" s="3"/>
      <c r="AI314" s="3"/>
      <c r="AP314" s="9"/>
    </row>
    <row r="315" ht="15.75" customHeight="1"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C315" s="9"/>
      <c r="AE315" s="3"/>
      <c r="AF315" s="3"/>
      <c r="AG315" s="3"/>
      <c r="AH315" s="3"/>
      <c r="AI315" s="3"/>
      <c r="AP315" s="9"/>
    </row>
    <row r="316" ht="15.75" customHeight="1"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C316" s="9"/>
      <c r="AE316" s="3"/>
      <c r="AF316" s="3"/>
      <c r="AG316" s="3"/>
      <c r="AH316" s="3"/>
      <c r="AI316" s="3"/>
      <c r="AP316" s="9"/>
    </row>
    <row r="317" ht="15.75" customHeight="1"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C317" s="9"/>
      <c r="AE317" s="3"/>
      <c r="AF317" s="3"/>
      <c r="AG317" s="3"/>
      <c r="AH317" s="3"/>
      <c r="AI317" s="3"/>
      <c r="AP317" s="9"/>
    </row>
    <row r="318" ht="15.75" customHeight="1"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C318" s="9"/>
      <c r="AE318" s="3"/>
      <c r="AF318" s="3"/>
      <c r="AG318" s="3"/>
      <c r="AH318" s="3"/>
      <c r="AI318" s="3"/>
      <c r="AP318" s="9"/>
    </row>
    <row r="319" ht="15.75" customHeight="1"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C319" s="9"/>
      <c r="AE319" s="3"/>
      <c r="AF319" s="3"/>
      <c r="AG319" s="3"/>
      <c r="AH319" s="3"/>
      <c r="AI319" s="3"/>
      <c r="AP319" s="9"/>
    </row>
    <row r="320" ht="15.75" customHeight="1"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C320" s="9"/>
      <c r="AE320" s="3"/>
      <c r="AF320" s="3"/>
      <c r="AG320" s="3"/>
      <c r="AH320" s="3"/>
      <c r="AI320" s="3"/>
      <c r="AP320" s="9"/>
    </row>
    <row r="321" ht="15.75" customHeight="1"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C321" s="9"/>
      <c r="AE321" s="3"/>
      <c r="AF321" s="3"/>
      <c r="AG321" s="3"/>
      <c r="AH321" s="3"/>
      <c r="AI321" s="3"/>
      <c r="AP321" s="9"/>
    </row>
    <row r="322" ht="15.75" customHeight="1"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C322" s="9"/>
      <c r="AE322" s="3"/>
      <c r="AF322" s="3"/>
      <c r="AG322" s="3"/>
      <c r="AH322" s="3"/>
      <c r="AI322" s="3"/>
      <c r="AP322" s="9"/>
    </row>
    <row r="323" ht="15.75" customHeight="1"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C323" s="9"/>
      <c r="AE323" s="3"/>
      <c r="AF323" s="3"/>
      <c r="AG323" s="3"/>
      <c r="AH323" s="3"/>
      <c r="AI323" s="3"/>
      <c r="AP323" s="9"/>
    </row>
    <row r="324" ht="15.75" customHeight="1"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C324" s="9"/>
      <c r="AE324" s="3"/>
      <c r="AF324" s="3"/>
      <c r="AG324" s="3"/>
      <c r="AH324" s="3"/>
      <c r="AI324" s="3"/>
      <c r="AP324" s="9"/>
    </row>
    <row r="325" ht="15.75" customHeight="1"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C325" s="9"/>
      <c r="AE325" s="3"/>
      <c r="AF325" s="3"/>
      <c r="AG325" s="3"/>
      <c r="AH325" s="3"/>
      <c r="AI325" s="3"/>
      <c r="AP325" s="9"/>
    </row>
    <row r="326" ht="15.75" customHeight="1"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C326" s="9"/>
      <c r="AE326" s="3"/>
      <c r="AF326" s="3"/>
      <c r="AG326" s="3"/>
      <c r="AH326" s="3"/>
      <c r="AI326" s="3"/>
      <c r="AP326" s="9"/>
    </row>
    <row r="327" ht="15.75" customHeight="1"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C327" s="9"/>
      <c r="AE327" s="3"/>
      <c r="AF327" s="3"/>
      <c r="AG327" s="3"/>
      <c r="AH327" s="3"/>
      <c r="AI327" s="3"/>
      <c r="AP327" s="9"/>
    </row>
    <row r="328" ht="15.75" customHeight="1"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C328" s="9"/>
      <c r="AE328" s="3"/>
      <c r="AF328" s="3"/>
      <c r="AG328" s="3"/>
      <c r="AH328" s="3"/>
      <c r="AI328" s="3"/>
      <c r="AP328" s="9"/>
    </row>
    <row r="329" ht="15.75" customHeight="1"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C329" s="9"/>
      <c r="AE329" s="3"/>
      <c r="AF329" s="3"/>
      <c r="AG329" s="3"/>
      <c r="AH329" s="3"/>
      <c r="AI329" s="3"/>
      <c r="AP329" s="9"/>
    </row>
    <row r="330" ht="15.75" customHeight="1"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C330" s="9"/>
      <c r="AE330" s="3"/>
      <c r="AF330" s="3"/>
      <c r="AG330" s="3"/>
      <c r="AH330" s="3"/>
      <c r="AI330" s="3"/>
      <c r="AP330" s="9"/>
    </row>
    <row r="331" ht="15.75" customHeight="1"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C331" s="9"/>
      <c r="AE331" s="3"/>
      <c r="AF331" s="3"/>
      <c r="AG331" s="3"/>
      <c r="AH331" s="3"/>
      <c r="AI331" s="3"/>
      <c r="AP331" s="9"/>
    </row>
    <row r="332" ht="15.75" customHeight="1"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C332" s="9"/>
      <c r="AE332" s="3"/>
      <c r="AF332" s="3"/>
      <c r="AG332" s="3"/>
      <c r="AH332" s="3"/>
      <c r="AI332" s="3"/>
      <c r="AP332" s="9"/>
    </row>
    <row r="333" ht="15.75" customHeight="1"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C333" s="9"/>
      <c r="AE333" s="3"/>
      <c r="AF333" s="3"/>
      <c r="AG333" s="3"/>
      <c r="AH333" s="3"/>
      <c r="AI333" s="3"/>
      <c r="AP333" s="9"/>
    </row>
    <row r="334" ht="15.75" customHeight="1"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C334" s="9"/>
      <c r="AE334" s="3"/>
      <c r="AF334" s="3"/>
      <c r="AG334" s="3"/>
      <c r="AH334" s="3"/>
      <c r="AI334" s="3"/>
      <c r="AP334" s="9"/>
    </row>
    <row r="335" ht="15.75" customHeight="1"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C335" s="9"/>
      <c r="AE335" s="3"/>
      <c r="AF335" s="3"/>
      <c r="AG335" s="3"/>
      <c r="AH335" s="3"/>
      <c r="AI335" s="3"/>
      <c r="AP335" s="9"/>
    </row>
    <row r="336" ht="15.75" customHeight="1"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C336" s="9"/>
      <c r="AE336" s="3"/>
      <c r="AF336" s="3"/>
      <c r="AG336" s="3"/>
      <c r="AH336" s="3"/>
      <c r="AI336" s="3"/>
      <c r="AP336" s="9"/>
    </row>
    <row r="337" ht="15.75" customHeight="1"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C337" s="9"/>
      <c r="AE337" s="3"/>
      <c r="AF337" s="3"/>
      <c r="AG337" s="3"/>
      <c r="AH337" s="3"/>
      <c r="AI337" s="3"/>
      <c r="AP337" s="9"/>
    </row>
    <row r="338" ht="15.75" customHeight="1"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C338" s="9"/>
      <c r="AE338" s="3"/>
      <c r="AF338" s="3"/>
      <c r="AG338" s="3"/>
      <c r="AH338" s="3"/>
      <c r="AI338" s="3"/>
      <c r="AP338" s="9"/>
    </row>
    <row r="339" ht="15.75" customHeight="1"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C339" s="9"/>
      <c r="AE339" s="3"/>
      <c r="AF339" s="3"/>
      <c r="AG339" s="3"/>
      <c r="AH339" s="3"/>
      <c r="AI339" s="3"/>
      <c r="AP339" s="9"/>
    </row>
    <row r="340" ht="15.75" customHeight="1"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C340" s="9"/>
      <c r="AE340" s="3"/>
      <c r="AF340" s="3"/>
      <c r="AG340" s="3"/>
      <c r="AH340" s="3"/>
      <c r="AI340" s="3"/>
      <c r="AP340" s="9"/>
    </row>
    <row r="341" ht="15.75" customHeight="1"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C341" s="9"/>
      <c r="AE341" s="3"/>
      <c r="AF341" s="3"/>
      <c r="AG341" s="3"/>
      <c r="AH341" s="3"/>
      <c r="AI341" s="3"/>
      <c r="AP341" s="9"/>
    </row>
    <row r="342" ht="15.75" customHeight="1"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C342" s="9"/>
      <c r="AE342" s="3"/>
      <c r="AF342" s="3"/>
      <c r="AG342" s="3"/>
      <c r="AH342" s="3"/>
      <c r="AI342" s="3"/>
      <c r="AP342" s="9"/>
    </row>
    <row r="343" ht="15.75" customHeight="1"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C343" s="9"/>
      <c r="AE343" s="3"/>
      <c r="AF343" s="3"/>
      <c r="AG343" s="3"/>
      <c r="AH343" s="3"/>
      <c r="AI343" s="3"/>
      <c r="AP343" s="9"/>
    </row>
    <row r="344" ht="15.75" customHeight="1"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C344" s="9"/>
      <c r="AE344" s="3"/>
      <c r="AF344" s="3"/>
      <c r="AG344" s="3"/>
      <c r="AH344" s="3"/>
      <c r="AI344" s="3"/>
      <c r="AP344" s="9"/>
    </row>
    <row r="345" ht="15.75" customHeight="1"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C345" s="9"/>
      <c r="AE345" s="3"/>
      <c r="AF345" s="3"/>
      <c r="AG345" s="3"/>
      <c r="AH345" s="3"/>
      <c r="AI345" s="3"/>
      <c r="AP345" s="9"/>
    </row>
    <row r="346" ht="15.75" customHeight="1"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C346" s="9"/>
      <c r="AE346" s="3"/>
      <c r="AF346" s="3"/>
      <c r="AG346" s="3"/>
      <c r="AH346" s="3"/>
      <c r="AI346" s="3"/>
      <c r="AP346" s="9"/>
    </row>
    <row r="347" ht="15.75" customHeight="1"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C347" s="9"/>
      <c r="AE347" s="3"/>
      <c r="AF347" s="3"/>
      <c r="AG347" s="3"/>
      <c r="AH347" s="3"/>
      <c r="AI347" s="3"/>
      <c r="AP347" s="9"/>
    </row>
    <row r="348" ht="15.75" customHeight="1"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C348" s="9"/>
      <c r="AE348" s="3"/>
      <c r="AF348" s="3"/>
      <c r="AG348" s="3"/>
      <c r="AH348" s="3"/>
      <c r="AI348" s="3"/>
      <c r="AP348" s="9"/>
    </row>
    <row r="349" ht="15.75" customHeight="1"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C349" s="9"/>
      <c r="AE349" s="3"/>
      <c r="AF349" s="3"/>
      <c r="AG349" s="3"/>
      <c r="AH349" s="3"/>
      <c r="AI349" s="3"/>
      <c r="AP349" s="9"/>
    </row>
    <row r="350" ht="15.75" customHeight="1"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C350" s="9"/>
      <c r="AE350" s="3"/>
      <c r="AF350" s="3"/>
      <c r="AG350" s="3"/>
      <c r="AH350" s="3"/>
      <c r="AI350" s="3"/>
      <c r="AP350" s="9"/>
    </row>
    <row r="351" ht="15.75" customHeight="1"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C351" s="9"/>
      <c r="AE351" s="3"/>
      <c r="AF351" s="3"/>
      <c r="AG351" s="3"/>
      <c r="AH351" s="3"/>
      <c r="AI351" s="3"/>
      <c r="AP351" s="9"/>
    </row>
    <row r="352" ht="15.75" customHeight="1"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C352" s="9"/>
      <c r="AE352" s="3"/>
      <c r="AF352" s="3"/>
      <c r="AG352" s="3"/>
      <c r="AH352" s="3"/>
      <c r="AI352" s="3"/>
      <c r="AP352" s="9"/>
    </row>
    <row r="353" ht="15.75" customHeight="1"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C353" s="9"/>
      <c r="AE353" s="3"/>
      <c r="AF353" s="3"/>
      <c r="AG353" s="3"/>
      <c r="AH353" s="3"/>
      <c r="AI353" s="3"/>
      <c r="AP353" s="9"/>
    </row>
    <row r="354" ht="15.75" customHeight="1"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C354" s="9"/>
      <c r="AE354" s="3"/>
      <c r="AF354" s="3"/>
      <c r="AG354" s="3"/>
      <c r="AH354" s="3"/>
      <c r="AI354" s="3"/>
      <c r="AP354" s="9"/>
    </row>
    <row r="355" ht="15.75" customHeight="1"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C355" s="9"/>
      <c r="AE355" s="3"/>
      <c r="AF355" s="3"/>
      <c r="AG355" s="3"/>
      <c r="AH355" s="3"/>
      <c r="AI355" s="3"/>
      <c r="AP355" s="9"/>
    </row>
    <row r="356" ht="15.75" customHeight="1"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C356" s="9"/>
      <c r="AE356" s="3"/>
      <c r="AF356" s="3"/>
      <c r="AG356" s="3"/>
      <c r="AH356" s="3"/>
      <c r="AI356" s="3"/>
      <c r="AP356" s="9"/>
    </row>
    <row r="357" ht="15.75" customHeight="1"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C357" s="9"/>
      <c r="AE357" s="3"/>
      <c r="AF357" s="3"/>
      <c r="AG357" s="3"/>
      <c r="AH357" s="3"/>
      <c r="AI357" s="3"/>
      <c r="AP357" s="9"/>
    </row>
    <row r="358" ht="15.75" customHeight="1"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C358" s="9"/>
      <c r="AE358" s="3"/>
      <c r="AF358" s="3"/>
      <c r="AG358" s="3"/>
      <c r="AH358" s="3"/>
      <c r="AI358" s="3"/>
      <c r="AP358" s="9"/>
    </row>
    <row r="359" ht="15.75" customHeight="1"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C359" s="9"/>
      <c r="AE359" s="3"/>
      <c r="AF359" s="3"/>
      <c r="AG359" s="3"/>
      <c r="AH359" s="3"/>
      <c r="AI359" s="3"/>
      <c r="AP359" s="9"/>
    </row>
    <row r="360" ht="15.75" customHeight="1"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C360" s="9"/>
      <c r="AE360" s="3"/>
      <c r="AF360" s="3"/>
      <c r="AG360" s="3"/>
      <c r="AH360" s="3"/>
      <c r="AI360" s="3"/>
      <c r="AP360" s="9"/>
    </row>
    <row r="361" ht="15.75" customHeight="1"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C361" s="9"/>
      <c r="AE361" s="3"/>
      <c r="AF361" s="3"/>
      <c r="AG361" s="3"/>
      <c r="AH361" s="3"/>
      <c r="AI361" s="3"/>
      <c r="AP361" s="9"/>
    </row>
    <row r="362" ht="15.75" customHeight="1"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C362" s="9"/>
      <c r="AE362" s="3"/>
      <c r="AF362" s="3"/>
      <c r="AG362" s="3"/>
      <c r="AH362" s="3"/>
      <c r="AI362" s="3"/>
      <c r="AP362" s="9"/>
    </row>
    <row r="363" ht="15.75" customHeight="1"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C363" s="9"/>
      <c r="AE363" s="3"/>
      <c r="AF363" s="3"/>
      <c r="AG363" s="3"/>
      <c r="AH363" s="3"/>
      <c r="AI363" s="3"/>
      <c r="AP363" s="9"/>
    </row>
    <row r="364" ht="15.75" customHeight="1"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C364" s="9"/>
      <c r="AE364" s="3"/>
      <c r="AF364" s="3"/>
      <c r="AG364" s="3"/>
      <c r="AH364" s="3"/>
      <c r="AI364" s="3"/>
      <c r="AP364" s="9"/>
    </row>
    <row r="365" ht="15.75" customHeight="1"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C365" s="9"/>
      <c r="AE365" s="3"/>
      <c r="AF365" s="3"/>
      <c r="AG365" s="3"/>
      <c r="AH365" s="3"/>
      <c r="AI365" s="3"/>
      <c r="AP365" s="9"/>
    </row>
    <row r="366" ht="15.75" customHeight="1"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C366" s="9"/>
      <c r="AE366" s="3"/>
      <c r="AF366" s="3"/>
      <c r="AG366" s="3"/>
      <c r="AH366" s="3"/>
      <c r="AI366" s="3"/>
      <c r="AP366" s="9"/>
    </row>
    <row r="367" ht="15.75" customHeight="1"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C367" s="9"/>
      <c r="AE367" s="3"/>
      <c r="AF367" s="3"/>
      <c r="AG367" s="3"/>
      <c r="AH367" s="3"/>
      <c r="AI367" s="3"/>
      <c r="AP367" s="9"/>
    </row>
    <row r="368" ht="15.75" customHeight="1"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C368" s="9"/>
      <c r="AE368" s="3"/>
      <c r="AF368" s="3"/>
      <c r="AG368" s="3"/>
      <c r="AH368" s="3"/>
      <c r="AI368" s="3"/>
      <c r="AP368" s="9"/>
    </row>
    <row r="369" ht="15.75" customHeight="1"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C369" s="9"/>
      <c r="AE369" s="3"/>
      <c r="AF369" s="3"/>
      <c r="AG369" s="3"/>
      <c r="AH369" s="3"/>
      <c r="AI369" s="3"/>
      <c r="AP369" s="9"/>
    </row>
    <row r="370" ht="15.75" customHeight="1"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C370" s="9"/>
      <c r="AE370" s="3"/>
      <c r="AF370" s="3"/>
      <c r="AG370" s="3"/>
      <c r="AH370" s="3"/>
      <c r="AI370" s="3"/>
      <c r="AP370" s="9"/>
    </row>
    <row r="371" ht="15.75" customHeight="1"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C371" s="9"/>
      <c r="AE371" s="3"/>
      <c r="AF371" s="3"/>
      <c r="AG371" s="3"/>
      <c r="AH371" s="3"/>
      <c r="AI371" s="3"/>
      <c r="AP371" s="9"/>
    </row>
    <row r="372" ht="15.75" customHeight="1"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C372" s="9"/>
      <c r="AE372" s="3"/>
      <c r="AF372" s="3"/>
      <c r="AG372" s="3"/>
      <c r="AH372" s="3"/>
      <c r="AI372" s="3"/>
      <c r="AP372" s="9"/>
    </row>
    <row r="373" ht="15.75" customHeight="1"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C373" s="9"/>
      <c r="AE373" s="3"/>
      <c r="AF373" s="3"/>
      <c r="AG373" s="3"/>
      <c r="AH373" s="3"/>
      <c r="AI373" s="3"/>
      <c r="AP373" s="9"/>
    </row>
    <row r="374" ht="15.75" customHeight="1"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C374" s="9"/>
      <c r="AE374" s="3"/>
      <c r="AF374" s="3"/>
      <c r="AG374" s="3"/>
      <c r="AH374" s="3"/>
      <c r="AI374" s="3"/>
      <c r="AP374" s="9"/>
    </row>
    <row r="375" ht="15.75" customHeight="1"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C375" s="9"/>
      <c r="AE375" s="3"/>
      <c r="AF375" s="3"/>
      <c r="AG375" s="3"/>
      <c r="AH375" s="3"/>
      <c r="AI375" s="3"/>
      <c r="AP375" s="9"/>
    </row>
    <row r="376" ht="15.75" customHeight="1"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C376" s="9"/>
      <c r="AE376" s="3"/>
      <c r="AF376" s="3"/>
      <c r="AG376" s="3"/>
      <c r="AH376" s="3"/>
      <c r="AI376" s="3"/>
      <c r="AP376" s="9"/>
    </row>
    <row r="377" ht="15.75" customHeight="1"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C377" s="9"/>
      <c r="AE377" s="3"/>
      <c r="AF377" s="3"/>
      <c r="AG377" s="3"/>
      <c r="AH377" s="3"/>
      <c r="AI377" s="3"/>
      <c r="AP377" s="9"/>
    </row>
    <row r="378" ht="15.75" customHeight="1"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C378" s="9"/>
      <c r="AE378" s="3"/>
      <c r="AF378" s="3"/>
      <c r="AG378" s="3"/>
      <c r="AH378" s="3"/>
      <c r="AI378" s="3"/>
      <c r="AP378" s="9"/>
    </row>
    <row r="379" ht="15.75" customHeight="1"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C379" s="9"/>
      <c r="AE379" s="3"/>
      <c r="AF379" s="3"/>
      <c r="AG379" s="3"/>
      <c r="AH379" s="3"/>
      <c r="AI379" s="3"/>
      <c r="AP379" s="9"/>
    </row>
    <row r="380" ht="15.75" customHeight="1"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C380" s="9"/>
      <c r="AE380" s="3"/>
      <c r="AF380" s="3"/>
      <c r="AG380" s="3"/>
      <c r="AH380" s="3"/>
      <c r="AI380" s="3"/>
      <c r="AP380" s="9"/>
    </row>
    <row r="381" ht="15.75" customHeight="1"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C381" s="9"/>
      <c r="AE381" s="3"/>
      <c r="AF381" s="3"/>
      <c r="AG381" s="3"/>
      <c r="AH381" s="3"/>
      <c r="AI381" s="3"/>
      <c r="AP381" s="9"/>
    </row>
    <row r="382" ht="15.75" customHeight="1"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C382" s="9"/>
      <c r="AE382" s="3"/>
      <c r="AF382" s="3"/>
      <c r="AG382" s="3"/>
      <c r="AH382" s="3"/>
      <c r="AI382" s="3"/>
      <c r="AP382" s="9"/>
    </row>
    <row r="383" ht="15.75" customHeight="1"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C383" s="9"/>
      <c r="AE383" s="3"/>
      <c r="AF383" s="3"/>
      <c r="AG383" s="3"/>
      <c r="AH383" s="3"/>
      <c r="AI383" s="3"/>
      <c r="AP383" s="9"/>
    </row>
    <row r="384" ht="15.75" customHeight="1"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C384" s="9"/>
      <c r="AE384" s="3"/>
      <c r="AF384" s="3"/>
      <c r="AG384" s="3"/>
      <c r="AH384" s="3"/>
      <c r="AI384" s="3"/>
      <c r="AP384" s="9"/>
    </row>
    <row r="385" ht="15.75" customHeight="1"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C385" s="9"/>
      <c r="AE385" s="3"/>
      <c r="AF385" s="3"/>
      <c r="AG385" s="3"/>
      <c r="AH385" s="3"/>
      <c r="AI385" s="3"/>
      <c r="AP385" s="9"/>
    </row>
    <row r="386" ht="15.75" customHeight="1"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C386" s="9"/>
      <c r="AE386" s="3"/>
      <c r="AF386" s="3"/>
      <c r="AG386" s="3"/>
      <c r="AH386" s="3"/>
      <c r="AI386" s="3"/>
      <c r="AP386" s="9"/>
    </row>
    <row r="387" ht="15.75" customHeight="1"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C387" s="9"/>
      <c r="AE387" s="3"/>
      <c r="AF387" s="3"/>
      <c r="AG387" s="3"/>
      <c r="AH387" s="3"/>
      <c r="AI387" s="3"/>
      <c r="AP387" s="9"/>
    </row>
    <row r="388" ht="15.75" customHeight="1"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C388" s="9"/>
      <c r="AE388" s="3"/>
      <c r="AF388" s="3"/>
      <c r="AG388" s="3"/>
      <c r="AH388" s="3"/>
      <c r="AI388" s="3"/>
      <c r="AP388" s="9"/>
    </row>
    <row r="389" ht="15.75" customHeight="1"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C389" s="9"/>
      <c r="AE389" s="3"/>
      <c r="AF389" s="3"/>
      <c r="AG389" s="3"/>
      <c r="AH389" s="3"/>
      <c r="AI389" s="3"/>
      <c r="AP389" s="9"/>
    </row>
    <row r="390" ht="15.75" customHeight="1"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C390" s="9"/>
      <c r="AE390" s="3"/>
      <c r="AF390" s="3"/>
      <c r="AG390" s="3"/>
      <c r="AH390" s="3"/>
      <c r="AI390" s="3"/>
      <c r="AP390" s="9"/>
    </row>
    <row r="391" ht="15.75" customHeight="1"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C391" s="9"/>
      <c r="AE391" s="3"/>
      <c r="AF391" s="3"/>
      <c r="AG391" s="3"/>
      <c r="AH391" s="3"/>
      <c r="AI391" s="3"/>
      <c r="AP391" s="9"/>
    </row>
    <row r="392" ht="15.75" customHeight="1"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C392" s="9"/>
      <c r="AE392" s="3"/>
      <c r="AF392" s="3"/>
      <c r="AG392" s="3"/>
      <c r="AH392" s="3"/>
      <c r="AI392" s="3"/>
      <c r="AP392" s="9"/>
    </row>
    <row r="393" ht="15.75" customHeight="1"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C393" s="9"/>
      <c r="AE393" s="3"/>
      <c r="AF393" s="3"/>
      <c r="AG393" s="3"/>
      <c r="AH393" s="3"/>
      <c r="AI393" s="3"/>
      <c r="AP393" s="9"/>
    </row>
    <row r="394" ht="15.75" customHeight="1"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C394" s="9"/>
      <c r="AE394" s="3"/>
      <c r="AF394" s="3"/>
      <c r="AG394" s="3"/>
      <c r="AH394" s="3"/>
      <c r="AI394" s="3"/>
      <c r="AP394" s="9"/>
    </row>
    <row r="395" ht="15.75" customHeight="1"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C395" s="9"/>
      <c r="AE395" s="3"/>
      <c r="AF395" s="3"/>
      <c r="AG395" s="3"/>
      <c r="AH395" s="3"/>
      <c r="AI395" s="3"/>
      <c r="AP395" s="9"/>
    </row>
    <row r="396" ht="15.75" customHeight="1"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C396" s="9"/>
      <c r="AE396" s="3"/>
      <c r="AF396" s="3"/>
      <c r="AG396" s="3"/>
      <c r="AH396" s="3"/>
      <c r="AI396" s="3"/>
      <c r="AP396" s="9"/>
    </row>
    <row r="397" ht="15.75" customHeight="1"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C397" s="9"/>
      <c r="AE397" s="3"/>
      <c r="AF397" s="3"/>
      <c r="AG397" s="3"/>
      <c r="AH397" s="3"/>
      <c r="AI397" s="3"/>
      <c r="AP397" s="9"/>
    </row>
    <row r="398" ht="15.75" customHeight="1"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C398" s="9"/>
      <c r="AE398" s="3"/>
      <c r="AF398" s="3"/>
      <c r="AG398" s="3"/>
      <c r="AH398" s="3"/>
      <c r="AI398" s="3"/>
      <c r="AP398" s="9"/>
    </row>
    <row r="399" ht="15.75" customHeight="1"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C399" s="9"/>
      <c r="AE399" s="3"/>
      <c r="AF399" s="3"/>
      <c r="AG399" s="3"/>
      <c r="AH399" s="3"/>
      <c r="AI399" s="3"/>
      <c r="AP399" s="9"/>
    </row>
    <row r="400" ht="15.75" customHeight="1"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C400" s="9"/>
      <c r="AE400" s="3"/>
      <c r="AF400" s="3"/>
      <c r="AG400" s="3"/>
      <c r="AH400" s="3"/>
      <c r="AI400" s="3"/>
      <c r="AP400" s="9"/>
    </row>
    <row r="401" ht="15.75" customHeight="1"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C401" s="9"/>
      <c r="AE401" s="3"/>
      <c r="AF401" s="3"/>
      <c r="AG401" s="3"/>
      <c r="AH401" s="3"/>
      <c r="AI401" s="3"/>
      <c r="AP401" s="9"/>
    </row>
    <row r="402" ht="15.75" customHeight="1"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C402" s="9"/>
      <c r="AE402" s="3"/>
      <c r="AF402" s="3"/>
      <c r="AG402" s="3"/>
      <c r="AH402" s="3"/>
      <c r="AI402" s="3"/>
      <c r="AP402" s="9"/>
    </row>
    <row r="403" ht="15.75" customHeight="1"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C403" s="9"/>
      <c r="AE403" s="3"/>
      <c r="AF403" s="3"/>
      <c r="AG403" s="3"/>
      <c r="AH403" s="3"/>
      <c r="AI403" s="3"/>
      <c r="AP403" s="9"/>
    </row>
    <row r="404" ht="15.75" customHeight="1"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C404" s="9"/>
      <c r="AE404" s="3"/>
      <c r="AF404" s="3"/>
      <c r="AG404" s="3"/>
      <c r="AH404" s="3"/>
      <c r="AI404" s="3"/>
      <c r="AP404" s="9"/>
    </row>
    <row r="405" ht="15.75" customHeight="1"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C405" s="9"/>
      <c r="AE405" s="3"/>
      <c r="AF405" s="3"/>
      <c r="AG405" s="3"/>
      <c r="AH405" s="3"/>
      <c r="AI405" s="3"/>
      <c r="AP405" s="9"/>
    </row>
    <row r="406" ht="15.75" customHeight="1"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C406" s="9"/>
      <c r="AE406" s="3"/>
      <c r="AF406" s="3"/>
      <c r="AG406" s="3"/>
      <c r="AH406" s="3"/>
      <c r="AI406" s="3"/>
      <c r="AP406" s="9"/>
    </row>
    <row r="407" ht="15.75" customHeight="1"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C407" s="9"/>
      <c r="AE407" s="3"/>
      <c r="AF407" s="3"/>
      <c r="AG407" s="3"/>
      <c r="AH407" s="3"/>
      <c r="AI407" s="3"/>
      <c r="AP407" s="9"/>
    </row>
    <row r="408" ht="15.75" customHeight="1"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C408" s="9"/>
      <c r="AE408" s="3"/>
      <c r="AF408" s="3"/>
      <c r="AG408" s="3"/>
      <c r="AH408" s="3"/>
      <c r="AI408" s="3"/>
      <c r="AP408" s="9"/>
    </row>
    <row r="409" ht="15.75" customHeight="1"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C409" s="9"/>
      <c r="AE409" s="3"/>
      <c r="AF409" s="3"/>
      <c r="AG409" s="3"/>
      <c r="AH409" s="3"/>
      <c r="AI409" s="3"/>
      <c r="AP409" s="9"/>
    </row>
    <row r="410" ht="15.75" customHeight="1"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C410" s="9"/>
      <c r="AE410" s="3"/>
      <c r="AF410" s="3"/>
      <c r="AG410" s="3"/>
      <c r="AH410" s="3"/>
      <c r="AI410" s="3"/>
      <c r="AP410" s="9"/>
    </row>
    <row r="411" ht="15.75" customHeight="1"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C411" s="9"/>
      <c r="AE411" s="3"/>
      <c r="AF411" s="3"/>
      <c r="AG411" s="3"/>
      <c r="AH411" s="3"/>
      <c r="AI411" s="3"/>
      <c r="AP411" s="9"/>
    </row>
    <row r="412" ht="15.75" customHeight="1"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C412" s="9"/>
      <c r="AE412" s="3"/>
      <c r="AF412" s="3"/>
      <c r="AG412" s="3"/>
      <c r="AH412" s="3"/>
      <c r="AI412" s="3"/>
      <c r="AP412" s="9"/>
    </row>
    <row r="413" ht="15.75" customHeight="1"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C413" s="9"/>
      <c r="AE413" s="3"/>
      <c r="AF413" s="3"/>
      <c r="AG413" s="3"/>
      <c r="AH413" s="3"/>
      <c r="AI413" s="3"/>
      <c r="AP413" s="9"/>
    </row>
    <row r="414" ht="15.75" customHeight="1"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C414" s="9"/>
      <c r="AE414" s="3"/>
      <c r="AF414" s="3"/>
      <c r="AG414" s="3"/>
      <c r="AH414" s="3"/>
      <c r="AI414" s="3"/>
      <c r="AP414" s="9"/>
    </row>
    <row r="415" ht="15.75" customHeight="1"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C415" s="9"/>
      <c r="AE415" s="3"/>
      <c r="AF415" s="3"/>
      <c r="AG415" s="3"/>
      <c r="AH415" s="3"/>
      <c r="AI415" s="3"/>
      <c r="AP415" s="9"/>
    </row>
    <row r="416" ht="15.75" customHeight="1"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C416" s="9"/>
      <c r="AE416" s="3"/>
      <c r="AF416" s="3"/>
      <c r="AG416" s="3"/>
      <c r="AH416" s="3"/>
      <c r="AI416" s="3"/>
      <c r="AP416" s="9"/>
    </row>
    <row r="417" ht="15.75" customHeight="1"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C417" s="9"/>
      <c r="AE417" s="3"/>
      <c r="AF417" s="3"/>
      <c r="AG417" s="3"/>
      <c r="AH417" s="3"/>
      <c r="AI417" s="3"/>
      <c r="AP417" s="9"/>
    </row>
    <row r="418" ht="15.75" customHeight="1"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C418" s="9"/>
      <c r="AE418" s="3"/>
      <c r="AF418" s="3"/>
      <c r="AG418" s="3"/>
      <c r="AH418" s="3"/>
      <c r="AI418" s="3"/>
      <c r="AP418" s="9"/>
    </row>
    <row r="419" ht="15.75" customHeight="1"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C419" s="9"/>
      <c r="AE419" s="3"/>
      <c r="AF419" s="3"/>
      <c r="AG419" s="3"/>
      <c r="AH419" s="3"/>
      <c r="AI419" s="3"/>
      <c r="AP419" s="9"/>
    </row>
    <row r="420" ht="15.75" customHeight="1"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C420" s="9"/>
      <c r="AE420" s="3"/>
      <c r="AF420" s="3"/>
      <c r="AG420" s="3"/>
      <c r="AH420" s="3"/>
      <c r="AI420" s="3"/>
      <c r="AP420" s="9"/>
    </row>
    <row r="421" ht="15.75" customHeight="1"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C421" s="9"/>
      <c r="AE421" s="3"/>
      <c r="AF421" s="3"/>
      <c r="AG421" s="3"/>
      <c r="AH421" s="3"/>
      <c r="AI421" s="3"/>
      <c r="AP421" s="9"/>
    </row>
    <row r="422" ht="15.75" customHeight="1"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C422" s="9"/>
      <c r="AE422" s="3"/>
      <c r="AF422" s="3"/>
      <c r="AG422" s="3"/>
      <c r="AH422" s="3"/>
      <c r="AI422" s="3"/>
      <c r="AP422" s="9"/>
    </row>
    <row r="423" ht="15.75" customHeight="1"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C423" s="9"/>
      <c r="AE423" s="3"/>
      <c r="AF423" s="3"/>
      <c r="AG423" s="3"/>
      <c r="AH423" s="3"/>
      <c r="AI423" s="3"/>
      <c r="AP423" s="9"/>
    </row>
    <row r="424" ht="15.75" customHeight="1"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C424" s="9"/>
      <c r="AE424" s="3"/>
      <c r="AF424" s="3"/>
      <c r="AG424" s="3"/>
      <c r="AH424" s="3"/>
      <c r="AI424" s="3"/>
      <c r="AP424" s="9"/>
    </row>
    <row r="425" ht="15.75" customHeight="1"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C425" s="9"/>
      <c r="AE425" s="3"/>
      <c r="AF425" s="3"/>
      <c r="AG425" s="3"/>
      <c r="AH425" s="3"/>
      <c r="AI425" s="3"/>
      <c r="AP425" s="9"/>
    </row>
    <row r="426" ht="15.75" customHeight="1"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C426" s="9"/>
      <c r="AE426" s="3"/>
      <c r="AF426" s="3"/>
      <c r="AG426" s="3"/>
      <c r="AH426" s="3"/>
      <c r="AI426" s="3"/>
      <c r="AP426" s="9"/>
    </row>
    <row r="427" ht="15.75" customHeight="1"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C427" s="9"/>
      <c r="AE427" s="3"/>
      <c r="AF427" s="3"/>
      <c r="AG427" s="3"/>
      <c r="AH427" s="3"/>
      <c r="AI427" s="3"/>
      <c r="AP427" s="9"/>
    </row>
    <row r="428" ht="15.75" customHeight="1"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C428" s="9"/>
      <c r="AE428" s="3"/>
      <c r="AF428" s="3"/>
      <c r="AG428" s="3"/>
      <c r="AH428" s="3"/>
      <c r="AI428" s="3"/>
      <c r="AP428" s="9"/>
    </row>
    <row r="429" ht="15.75" customHeight="1"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C429" s="9"/>
      <c r="AE429" s="3"/>
      <c r="AF429" s="3"/>
      <c r="AG429" s="3"/>
      <c r="AH429" s="3"/>
      <c r="AI429" s="3"/>
      <c r="AP429" s="9"/>
    </row>
    <row r="430" ht="15.75" customHeight="1"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C430" s="9"/>
      <c r="AE430" s="3"/>
      <c r="AF430" s="3"/>
      <c r="AG430" s="3"/>
      <c r="AH430" s="3"/>
      <c r="AI430" s="3"/>
      <c r="AP430" s="9"/>
    </row>
    <row r="431" ht="15.75" customHeight="1"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C431" s="9"/>
      <c r="AE431" s="3"/>
      <c r="AF431" s="3"/>
      <c r="AG431" s="3"/>
      <c r="AH431" s="3"/>
      <c r="AI431" s="3"/>
      <c r="AP431" s="9"/>
    </row>
    <row r="432" ht="15.75" customHeight="1"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C432" s="9"/>
      <c r="AE432" s="3"/>
      <c r="AF432" s="3"/>
      <c r="AG432" s="3"/>
      <c r="AH432" s="3"/>
      <c r="AI432" s="3"/>
      <c r="AP432" s="9"/>
    </row>
    <row r="433" ht="15.75" customHeight="1"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C433" s="9"/>
      <c r="AE433" s="3"/>
      <c r="AF433" s="3"/>
      <c r="AG433" s="3"/>
      <c r="AH433" s="3"/>
      <c r="AI433" s="3"/>
      <c r="AP433" s="9"/>
    </row>
    <row r="434" ht="15.75" customHeight="1"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C434" s="9"/>
      <c r="AE434" s="3"/>
      <c r="AF434" s="3"/>
      <c r="AG434" s="3"/>
      <c r="AH434" s="3"/>
      <c r="AI434" s="3"/>
      <c r="AP434" s="9"/>
    </row>
    <row r="435" ht="15.75" customHeight="1"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C435" s="9"/>
      <c r="AE435" s="3"/>
      <c r="AF435" s="3"/>
      <c r="AG435" s="3"/>
      <c r="AH435" s="3"/>
      <c r="AI435" s="3"/>
      <c r="AP435" s="9"/>
    </row>
    <row r="436" ht="15.75" customHeight="1"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C436" s="9"/>
      <c r="AE436" s="3"/>
      <c r="AF436" s="3"/>
      <c r="AG436" s="3"/>
      <c r="AH436" s="3"/>
      <c r="AI436" s="3"/>
      <c r="AP436" s="9"/>
    </row>
    <row r="437" ht="15.75" customHeight="1"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C437" s="9"/>
      <c r="AE437" s="3"/>
      <c r="AF437" s="3"/>
      <c r="AG437" s="3"/>
      <c r="AH437" s="3"/>
      <c r="AI437" s="3"/>
      <c r="AP437" s="9"/>
    </row>
    <row r="438" ht="15.75" customHeight="1"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C438" s="9"/>
      <c r="AE438" s="3"/>
      <c r="AF438" s="3"/>
      <c r="AG438" s="3"/>
      <c r="AH438" s="3"/>
      <c r="AI438" s="3"/>
      <c r="AP438" s="9"/>
    </row>
    <row r="439" ht="15.75" customHeight="1"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C439" s="9"/>
      <c r="AE439" s="3"/>
      <c r="AF439" s="3"/>
      <c r="AG439" s="3"/>
      <c r="AH439" s="3"/>
      <c r="AI439" s="3"/>
      <c r="AP439" s="9"/>
    </row>
    <row r="440" ht="15.75" customHeight="1"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C440" s="9"/>
      <c r="AE440" s="3"/>
      <c r="AF440" s="3"/>
      <c r="AG440" s="3"/>
      <c r="AH440" s="3"/>
      <c r="AI440" s="3"/>
      <c r="AP440" s="9"/>
    </row>
    <row r="441" ht="15.75" customHeight="1"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C441" s="9"/>
      <c r="AE441" s="3"/>
      <c r="AF441" s="3"/>
      <c r="AG441" s="3"/>
      <c r="AH441" s="3"/>
      <c r="AI441" s="3"/>
      <c r="AP441" s="9"/>
    </row>
    <row r="442" ht="15.75" customHeight="1"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C442" s="9"/>
      <c r="AE442" s="3"/>
      <c r="AF442" s="3"/>
      <c r="AG442" s="3"/>
      <c r="AH442" s="3"/>
      <c r="AI442" s="3"/>
      <c r="AP442" s="9"/>
    </row>
    <row r="443" ht="15.75" customHeight="1"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C443" s="9"/>
      <c r="AE443" s="3"/>
      <c r="AF443" s="3"/>
      <c r="AG443" s="3"/>
      <c r="AH443" s="3"/>
      <c r="AI443" s="3"/>
      <c r="AP443" s="9"/>
    </row>
    <row r="444" ht="15.75" customHeight="1"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C444" s="9"/>
      <c r="AE444" s="3"/>
      <c r="AF444" s="3"/>
      <c r="AG444" s="3"/>
      <c r="AH444" s="3"/>
      <c r="AI444" s="3"/>
      <c r="AP444" s="9"/>
    </row>
    <row r="445" ht="15.75" customHeight="1"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C445" s="9"/>
      <c r="AE445" s="3"/>
      <c r="AF445" s="3"/>
      <c r="AG445" s="3"/>
      <c r="AH445" s="3"/>
      <c r="AI445" s="3"/>
      <c r="AP445" s="9"/>
    </row>
    <row r="446" ht="15.75" customHeight="1"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C446" s="9"/>
      <c r="AE446" s="3"/>
      <c r="AF446" s="3"/>
      <c r="AG446" s="3"/>
      <c r="AH446" s="3"/>
      <c r="AI446" s="3"/>
      <c r="AP446" s="9"/>
    </row>
    <row r="447" ht="15.75" customHeight="1"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C447" s="9"/>
      <c r="AE447" s="3"/>
      <c r="AF447" s="3"/>
      <c r="AG447" s="3"/>
      <c r="AH447" s="3"/>
      <c r="AI447" s="3"/>
      <c r="AP447" s="9"/>
    </row>
    <row r="448" ht="15.75" customHeight="1"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C448" s="9"/>
      <c r="AE448" s="3"/>
      <c r="AF448" s="3"/>
      <c r="AG448" s="3"/>
      <c r="AH448" s="3"/>
      <c r="AI448" s="3"/>
      <c r="AP448" s="9"/>
    </row>
    <row r="449" ht="15.75" customHeight="1"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C449" s="9"/>
      <c r="AE449" s="3"/>
      <c r="AF449" s="3"/>
      <c r="AG449" s="3"/>
      <c r="AH449" s="3"/>
      <c r="AI449" s="3"/>
      <c r="AP449" s="9"/>
    </row>
    <row r="450" ht="15.75" customHeight="1"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C450" s="9"/>
      <c r="AE450" s="3"/>
      <c r="AF450" s="3"/>
      <c r="AG450" s="3"/>
      <c r="AH450" s="3"/>
      <c r="AI450" s="3"/>
      <c r="AP450" s="9"/>
    </row>
    <row r="451" ht="15.75" customHeight="1"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C451" s="9"/>
      <c r="AE451" s="3"/>
      <c r="AF451" s="3"/>
      <c r="AG451" s="3"/>
      <c r="AH451" s="3"/>
      <c r="AI451" s="3"/>
      <c r="AP451" s="9"/>
    </row>
    <row r="452" ht="15.75" customHeight="1"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C452" s="9"/>
      <c r="AE452" s="3"/>
      <c r="AF452" s="3"/>
      <c r="AG452" s="3"/>
      <c r="AH452" s="3"/>
      <c r="AI452" s="3"/>
      <c r="AP452" s="9"/>
    </row>
    <row r="453" ht="15.75" customHeight="1"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C453" s="9"/>
      <c r="AE453" s="3"/>
      <c r="AF453" s="3"/>
      <c r="AG453" s="3"/>
      <c r="AH453" s="3"/>
      <c r="AI453" s="3"/>
      <c r="AP453" s="9"/>
    </row>
    <row r="454" ht="15.75" customHeight="1"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C454" s="9"/>
      <c r="AE454" s="3"/>
      <c r="AF454" s="3"/>
      <c r="AG454" s="3"/>
      <c r="AH454" s="3"/>
      <c r="AI454" s="3"/>
      <c r="AP454" s="9"/>
    </row>
    <row r="455" ht="15.75" customHeight="1"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C455" s="9"/>
      <c r="AE455" s="3"/>
      <c r="AF455" s="3"/>
      <c r="AG455" s="3"/>
      <c r="AH455" s="3"/>
      <c r="AI455" s="3"/>
      <c r="AP455" s="9"/>
    </row>
    <row r="456" ht="15.75" customHeight="1"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C456" s="9"/>
      <c r="AE456" s="3"/>
      <c r="AF456" s="3"/>
      <c r="AG456" s="3"/>
      <c r="AH456" s="3"/>
      <c r="AI456" s="3"/>
      <c r="AP456" s="9"/>
    </row>
    <row r="457" ht="15.75" customHeight="1"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C457" s="9"/>
      <c r="AE457" s="3"/>
      <c r="AF457" s="3"/>
      <c r="AG457" s="3"/>
      <c r="AH457" s="3"/>
      <c r="AI457" s="3"/>
      <c r="AP457" s="9"/>
    </row>
    <row r="458" ht="15.75" customHeight="1"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C458" s="9"/>
      <c r="AE458" s="3"/>
      <c r="AF458" s="3"/>
      <c r="AG458" s="3"/>
      <c r="AH458" s="3"/>
      <c r="AI458" s="3"/>
      <c r="AP458" s="9"/>
    </row>
    <row r="459" ht="15.75" customHeight="1"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C459" s="9"/>
      <c r="AE459" s="3"/>
      <c r="AF459" s="3"/>
      <c r="AG459" s="3"/>
      <c r="AH459" s="3"/>
      <c r="AI459" s="3"/>
      <c r="AP459" s="9"/>
    </row>
    <row r="460" ht="15.75" customHeight="1"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C460" s="9"/>
      <c r="AE460" s="3"/>
      <c r="AF460" s="3"/>
      <c r="AG460" s="3"/>
      <c r="AH460" s="3"/>
      <c r="AI460" s="3"/>
      <c r="AP460" s="9"/>
    </row>
    <row r="461" ht="15.75" customHeight="1"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C461" s="9"/>
      <c r="AE461" s="3"/>
      <c r="AF461" s="3"/>
      <c r="AG461" s="3"/>
      <c r="AH461" s="3"/>
      <c r="AI461" s="3"/>
      <c r="AP461" s="9"/>
    </row>
    <row r="462" ht="15.75" customHeight="1"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C462" s="9"/>
      <c r="AE462" s="3"/>
      <c r="AF462" s="3"/>
      <c r="AG462" s="3"/>
      <c r="AH462" s="3"/>
      <c r="AI462" s="3"/>
      <c r="AP462" s="9"/>
    </row>
    <row r="463" ht="15.75" customHeight="1"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C463" s="9"/>
      <c r="AE463" s="3"/>
      <c r="AF463" s="3"/>
      <c r="AG463" s="3"/>
      <c r="AH463" s="3"/>
      <c r="AI463" s="3"/>
      <c r="AP463" s="9"/>
    </row>
    <row r="464" ht="15.75" customHeight="1"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C464" s="9"/>
      <c r="AE464" s="3"/>
      <c r="AF464" s="3"/>
      <c r="AG464" s="3"/>
      <c r="AH464" s="3"/>
      <c r="AI464" s="3"/>
      <c r="AP464" s="9"/>
    </row>
    <row r="465" ht="15.75" customHeight="1"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C465" s="9"/>
      <c r="AE465" s="3"/>
      <c r="AF465" s="3"/>
      <c r="AG465" s="3"/>
      <c r="AH465" s="3"/>
      <c r="AI465" s="3"/>
      <c r="AP465" s="9"/>
    </row>
    <row r="466" ht="15.75" customHeight="1"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C466" s="9"/>
      <c r="AE466" s="3"/>
      <c r="AF466" s="3"/>
      <c r="AG466" s="3"/>
      <c r="AH466" s="3"/>
      <c r="AI466" s="3"/>
      <c r="AP466" s="9"/>
    </row>
    <row r="467" ht="15.75" customHeight="1"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C467" s="9"/>
      <c r="AE467" s="3"/>
      <c r="AF467" s="3"/>
      <c r="AG467" s="3"/>
      <c r="AH467" s="3"/>
      <c r="AI467" s="3"/>
      <c r="AP467" s="9"/>
    </row>
    <row r="468" ht="15.75" customHeight="1"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C468" s="9"/>
      <c r="AE468" s="3"/>
      <c r="AF468" s="3"/>
      <c r="AG468" s="3"/>
      <c r="AH468" s="3"/>
      <c r="AI468" s="3"/>
      <c r="AP468" s="9"/>
    </row>
    <row r="469" ht="15.75" customHeight="1"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C469" s="9"/>
      <c r="AE469" s="3"/>
      <c r="AF469" s="3"/>
      <c r="AG469" s="3"/>
      <c r="AH469" s="3"/>
      <c r="AI469" s="3"/>
      <c r="AP469" s="9"/>
    </row>
    <row r="470" ht="15.75" customHeight="1"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C470" s="9"/>
      <c r="AE470" s="3"/>
      <c r="AF470" s="3"/>
      <c r="AG470" s="3"/>
      <c r="AH470" s="3"/>
      <c r="AI470" s="3"/>
      <c r="AP470" s="9"/>
    </row>
    <row r="471" ht="15.75" customHeight="1"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C471" s="9"/>
      <c r="AE471" s="3"/>
      <c r="AF471" s="3"/>
      <c r="AG471" s="3"/>
      <c r="AH471" s="3"/>
      <c r="AI471" s="3"/>
      <c r="AP471" s="9"/>
    </row>
    <row r="472" ht="15.75" customHeight="1"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C472" s="9"/>
      <c r="AE472" s="3"/>
      <c r="AF472" s="3"/>
      <c r="AG472" s="3"/>
      <c r="AH472" s="3"/>
      <c r="AI472" s="3"/>
      <c r="AP472" s="9"/>
    </row>
    <row r="473" ht="15.75" customHeight="1"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C473" s="9"/>
      <c r="AE473" s="3"/>
      <c r="AF473" s="3"/>
      <c r="AG473" s="3"/>
      <c r="AH473" s="3"/>
      <c r="AI473" s="3"/>
      <c r="AP473" s="9"/>
    </row>
    <row r="474" ht="15.75" customHeight="1"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C474" s="9"/>
      <c r="AE474" s="3"/>
      <c r="AF474" s="3"/>
      <c r="AG474" s="3"/>
      <c r="AH474" s="3"/>
      <c r="AI474" s="3"/>
      <c r="AP474" s="9"/>
    </row>
    <row r="475" ht="15.75" customHeight="1"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C475" s="9"/>
      <c r="AE475" s="3"/>
      <c r="AF475" s="3"/>
      <c r="AG475" s="3"/>
      <c r="AH475" s="3"/>
      <c r="AI475" s="3"/>
      <c r="AP475" s="9"/>
    </row>
    <row r="476" ht="15.75" customHeight="1"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C476" s="9"/>
      <c r="AE476" s="3"/>
      <c r="AF476" s="3"/>
      <c r="AG476" s="3"/>
      <c r="AH476" s="3"/>
      <c r="AI476" s="3"/>
      <c r="AP476" s="9"/>
    </row>
    <row r="477" ht="15.75" customHeight="1"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C477" s="9"/>
      <c r="AE477" s="3"/>
      <c r="AF477" s="3"/>
      <c r="AG477" s="3"/>
      <c r="AH477" s="3"/>
      <c r="AI477" s="3"/>
      <c r="AP477" s="9"/>
    </row>
    <row r="478" ht="15.75" customHeight="1"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C478" s="9"/>
      <c r="AE478" s="3"/>
      <c r="AF478" s="3"/>
      <c r="AG478" s="3"/>
      <c r="AH478" s="3"/>
      <c r="AI478" s="3"/>
      <c r="AP478" s="9"/>
    </row>
    <row r="479" ht="15.75" customHeight="1"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C479" s="9"/>
      <c r="AE479" s="3"/>
      <c r="AF479" s="3"/>
      <c r="AG479" s="3"/>
      <c r="AH479" s="3"/>
      <c r="AI479" s="3"/>
      <c r="AP479" s="9"/>
    </row>
    <row r="480" ht="15.75" customHeight="1"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C480" s="9"/>
      <c r="AE480" s="3"/>
      <c r="AF480" s="3"/>
      <c r="AG480" s="3"/>
      <c r="AH480" s="3"/>
      <c r="AI480" s="3"/>
      <c r="AP480" s="9"/>
    </row>
    <row r="481" ht="15.75" customHeight="1"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C481" s="9"/>
      <c r="AE481" s="3"/>
      <c r="AF481" s="3"/>
      <c r="AG481" s="3"/>
      <c r="AH481" s="3"/>
      <c r="AI481" s="3"/>
      <c r="AP481" s="9"/>
    </row>
    <row r="482" ht="15.75" customHeight="1"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C482" s="9"/>
      <c r="AE482" s="3"/>
      <c r="AF482" s="3"/>
      <c r="AG482" s="3"/>
      <c r="AH482" s="3"/>
      <c r="AI482" s="3"/>
      <c r="AP482" s="9"/>
    </row>
    <row r="483" ht="15.75" customHeight="1"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C483" s="9"/>
      <c r="AE483" s="3"/>
      <c r="AF483" s="3"/>
      <c r="AG483" s="3"/>
      <c r="AH483" s="3"/>
      <c r="AI483" s="3"/>
      <c r="AP483" s="9"/>
    </row>
    <row r="484" ht="15.75" customHeight="1"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C484" s="9"/>
      <c r="AE484" s="3"/>
      <c r="AF484" s="3"/>
      <c r="AG484" s="3"/>
      <c r="AH484" s="3"/>
      <c r="AI484" s="3"/>
      <c r="AP484" s="9"/>
    </row>
    <row r="485" ht="15.75" customHeight="1"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C485" s="9"/>
      <c r="AE485" s="3"/>
      <c r="AF485" s="3"/>
      <c r="AG485" s="3"/>
      <c r="AH485" s="3"/>
      <c r="AI485" s="3"/>
      <c r="AP485" s="9"/>
    </row>
    <row r="486" ht="15.75" customHeight="1"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C486" s="9"/>
      <c r="AE486" s="3"/>
      <c r="AF486" s="3"/>
      <c r="AG486" s="3"/>
      <c r="AH486" s="3"/>
      <c r="AI486" s="3"/>
      <c r="AP486" s="9"/>
    </row>
    <row r="487" ht="15.75" customHeight="1"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C487" s="9"/>
      <c r="AE487" s="3"/>
      <c r="AF487" s="3"/>
      <c r="AG487" s="3"/>
      <c r="AH487" s="3"/>
      <c r="AI487" s="3"/>
      <c r="AP487" s="9"/>
    </row>
    <row r="488" ht="15.75" customHeight="1"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C488" s="9"/>
      <c r="AE488" s="3"/>
      <c r="AF488" s="3"/>
      <c r="AG488" s="3"/>
      <c r="AH488" s="3"/>
      <c r="AI488" s="3"/>
      <c r="AP488" s="9"/>
    </row>
    <row r="489" ht="15.75" customHeight="1"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C489" s="9"/>
      <c r="AE489" s="3"/>
      <c r="AF489" s="3"/>
      <c r="AG489" s="3"/>
      <c r="AH489" s="3"/>
      <c r="AI489" s="3"/>
      <c r="AP489" s="9"/>
    </row>
    <row r="490" ht="15.75" customHeight="1"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C490" s="9"/>
      <c r="AE490" s="3"/>
      <c r="AF490" s="3"/>
      <c r="AG490" s="3"/>
      <c r="AH490" s="3"/>
      <c r="AI490" s="3"/>
      <c r="AP490" s="9"/>
    </row>
    <row r="491" ht="15.75" customHeight="1"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C491" s="9"/>
      <c r="AE491" s="3"/>
      <c r="AF491" s="3"/>
      <c r="AG491" s="3"/>
      <c r="AH491" s="3"/>
      <c r="AI491" s="3"/>
      <c r="AP491" s="9"/>
    </row>
    <row r="492" ht="15.75" customHeight="1"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C492" s="9"/>
      <c r="AE492" s="3"/>
      <c r="AF492" s="3"/>
      <c r="AG492" s="3"/>
      <c r="AH492" s="3"/>
      <c r="AI492" s="3"/>
      <c r="AP492" s="9"/>
    </row>
    <row r="493" ht="15.75" customHeight="1"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C493" s="9"/>
      <c r="AE493" s="3"/>
      <c r="AF493" s="3"/>
      <c r="AG493" s="3"/>
      <c r="AH493" s="3"/>
      <c r="AI493" s="3"/>
      <c r="AP493" s="9"/>
    </row>
    <row r="494" ht="15.75" customHeight="1"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C494" s="9"/>
      <c r="AE494" s="3"/>
      <c r="AF494" s="3"/>
      <c r="AG494" s="3"/>
      <c r="AH494" s="3"/>
      <c r="AI494" s="3"/>
      <c r="AP494" s="9"/>
    </row>
    <row r="495" ht="15.75" customHeight="1"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C495" s="9"/>
      <c r="AE495" s="3"/>
      <c r="AF495" s="3"/>
      <c r="AG495" s="3"/>
      <c r="AH495" s="3"/>
      <c r="AI495" s="3"/>
      <c r="AP495" s="9"/>
    </row>
    <row r="496" ht="15.75" customHeight="1"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C496" s="9"/>
      <c r="AE496" s="3"/>
      <c r="AF496" s="3"/>
      <c r="AG496" s="3"/>
      <c r="AH496" s="3"/>
      <c r="AI496" s="3"/>
      <c r="AP496" s="9"/>
    </row>
    <row r="497" ht="15.75" customHeight="1"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C497" s="9"/>
      <c r="AE497" s="3"/>
      <c r="AF497" s="3"/>
      <c r="AG497" s="3"/>
      <c r="AH497" s="3"/>
      <c r="AI497" s="3"/>
      <c r="AP497" s="9"/>
    </row>
    <row r="498" ht="15.75" customHeight="1"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C498" s="9"/>
      <c r="AE498" s="3"/>
      <c r="AF498" s="3"/>
      <c r="AG498" s="3"/>
      <c r="AH498" s="3"/>
      <c r="AI498" s="3"/>
      <c r="AP498" s="9"/>
    </row>
    <row r="499" ht="15.75" customHeight="1"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C499" s="9"/>
      <c r="AE499" s="3"/>
      <c r="AF499" s="3"/>
      <c r="AG499" s="3"/>
      <c r="AH499" s="3"/>
      <c r="AI499" s="3"/>
      <c r="AP499" s="9"/>
    </row>
    <row r="500" ht="15.75" customHeight="1"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C500" s="9"/>
      <c r="AE500" s="3"/>
      <c r="AF500" s="3"/>
      <c r="AG500" s="3"/>
      <c r="AH500" s="3"/>
      <c r="AI500" s="3"/>
      <c r="AP500" s="9"/>
    </row>
    <row r="501" ht="15.75" customHeight="1"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C501" s="9"/>
      <c r="AE501" s="3"/>
      <c r="AF501" s="3"/>
      <c r="AG501" s="3"/>
      <c r="AH501" s="3"/>
      <c r="AI501" s="3"/>
      <c r="AP501" s="9"/>
    </row>
    <row r="502" ht="15.75" customHeight="1"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C502" s="9"/>
      <c r="AE502" s="3"/>
      <c r="AF502" s="3"/>
      <c r="AG502" s="3"/>
      <c r="AH502" s="3"/>
      <c r="AI502" s="3"/>
      <c r="AP502" s="9"/>
    </row>
    <row r="503" ht="15.75" customHeight="1"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C503" s="9"/>
      <c r="AE503" s="3"/>
      <c r="AF503" s="3"/>
      <c r="AG503" s="3"/>
      <c r="AH503" s="3"/>
      <c r="AI503" s="3"/>
      <c r="AP503" s="9"/>
    </row>
    <row r="504" ht="15.75" customHeight="1"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C504" s="9"/>
      <c r="AE504" s="3"/>
      <c r="AF504" s="3"/>
      <c r="AG504" s="3"/>
      <c r="AH504" s="3"/>
      <c r="AI504" s="3"/>
      <c r="AP504" s="9"/>
    </row>
    <row r="505" ht="15.75" customHeight="1"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C505" s="9"/>
      <c r="AE505" s="3"/>
      <c r="AF505" s="3"/>
      <c r="AG505" s="3"/>
      <c r="AH505" s="3"/>
      <c r="AI505" s="3"/>
      <c r="AP505" s="9"/>
    </row>
    <row r="506" ht="15.75" customHeight="1"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C506" s="9"/>
      <c r="AE506" s="3"/>
      <c r="AF506" s="3"/>
      <c r="AG506" s="3"/>
      <c r="AH506" s="3"/>
      <c r="AI506" s="3"/>
      <c r="AP506" s="9"/>
    </row>
    <row r="507" ht="15.75" customHeight="1"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C507" s="9"/>
      <c r="AE507" s="3"/>
      <c r="AF507" s="3"/>
      <c r="AG507" s="3"/>
      <c r="AH507" s="3"/>
      <c r="AI507" s="3"/>
      <c r="AP507" s="9"/>
    </row>
    <row r="508" ht="15.75" customHeight="1"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C508" s="9"/>
      <c r="AE508" s="3"/>
      <c r="AF508" s="3"/>
      <c r="AG508" s="3"/>
      <c r="AH508" s="3"/>
      <c r="AI508" s="3"/>
      <c r="AP508" s="9"/>
    </row>
    <row r="509" ht="15.75" customHeight="1"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C509" s="9"/>
      <c r="AE509" s="3"/>
      <c r="AF509" s="3"/>
      <c r="AG509" s="3"/>
      <c r="AH509" s="3"/>
      <c r="AI509" s="3"/>
      <c r="AP509" s="9"/>
    </row>
    <row r="510" ht="15.75" customHeight="1"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C510" s="9"/>
      <c r="AE510" s="3"/>
      <c r="AF510" s="3"/>
      <c r="AG510" s="3"/>
      <c r="AH510" s="3"/>
      <c r="AI510" s="3"/>
      <c r="AP510" s="9"/>
    </row>
    <row r="511" ht="15.75" customHeight="1"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C511" s="9"/>
      <c r="AE511" s="3"/>
      <c r="AF511" s="3"/>
      <c r="AG511" s="3"/>
      <c r="AH511" s="3"/>
      <c r="AI511" s="3"/>
      <c r="AP511" s="9"/>
    </row>
    <row r="512" ht="15.75" customHeight="1"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C512" s="9"/>
      <c r="AE512" s="3"/>
      <c r="AF512" s="3"/>
      <c r="AG512" s="3"/>
      <c r="AH512" s="3"/>
      <c r="AI512" s="3"/>
      <c r="AP512" s="9"/>
    </row>
    <row r="513" ht="15.75" customHeight="1"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C513" s="9"/>
      <c r="AE513" s="3"/>
      <c r="AF513" s="3"/>
      <c r="AG513" s="3"/>
      <c r="AH513" s="3"/>
      <c r="AI513" s="3"/>
      <c r="AP513" s="9"/>
    </row>
    <row r="514" ht="15.75" customHeight="1"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C514" s="9"/>
      <c r="AE514" s="3"/>
      <c r="AF514" s="3"/>
      <c r="AG514" s="3"/>
      <c r="AH514" s="3"/>
      <c r="AI514" s="3"/>
      <c r="AP514" s="9"/>
    </row>
    <row r="515" ht="15.75" customHeight="1"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C515" s="9"/>
      <c r="AE515" s="3"/>
      <c r="AF515" s="3"/>
      <c r="AG515" s="3"/>
      <c r="AH515" s="3"/>
      <c r="AI515" s="3"/>
      <c r="AP515" s="9"/>
    </row>
    <row r="516" ht="15.75" customHeight="1"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C516" s="9"/>
      <c r="AE516" s="3"/>
      <c r="AF516" s="3"/>
      <c r="AG516" s="3"/>
      <c r="AH516" s="3"/>
      <c r="AI516" s="3"/>
      <c r="AP516" s="9"/>
    </row>
    <row r="517" ht="15.75" customHeight="1"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C517" s="9"/>
      <c r="AE517" s="3"/>
      <c r="AF517" s="3"/>
      <c r="AG517" s="3"/>
      <c r="AH517" s="3"/>
      <c r="AI517" s="3"/>
      <c r="AP517" s="9"/>
    </row>
    <row r="518" ht="15.75" customHeight="1"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C518" s="9"/>
      <c r="AE518" s="3"/>
      <c r="AF518" s="3"/>
      <c r="AG518" s="3"/>
      <c r="AH518" s="3"/>
      <c r="AI518" s="3"/>
      <c r="AP518" s="9"/>
    </row>
    <row r="519" ht="15.75" customHeight="1"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C519" s="9"/>
      <c r="AE519" s="3"/>
      <c r="AF519" s="3"/>
      <c r="AG519" s="3"/>
      <c r="AH519" s="3"/>
      <c r="AI519" s="3"/>
      <c r="AP519" s="9"/>
    </row>
    <row r="520" ht="15.75" customHeight="1"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C520" s="9"/>
      <c r="AE520" s="3"/>
      <c r="AF520" s="3"/>
      <c r="AG520" s="3"/>
      <c r="AH520" s="3"/>
      <c r="AI520" s="3"/>
      <c r="AP520" s="9"/>
    </row>
    <row r="521" ht="15.75" customHeight="1"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C521" s="9"/>
      <c r="AE521" s="3"/>
      <c r="AF521" s="3"/>
      <c r="AG521" s="3"/>
      <c r="AH521" s="3"/>
      <c r="AI521" s="3"/>
      <c r="AP521" s="9"/>
    </row>
    <row r="522" ht="15.75" customHeight="1"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C522" s="9"/>
      <c r="AE522" s="3"/>
      <c r="AF522" s="3"/>
      <c r="AG522" s="3"/>
      <c r="AH522" s="3"/>
      <c r="AI522" s="3"/>
      <c r="AP522" s="9"/>
    </row>
    <row r="523" ht="15.75" customHeight="1"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C523" s="9"/>
      <c r="AE523" s="3"/>
      <c r="AF523" s="3"/>
      <c r="AG523" s="3"/>
      <c r="AH523" s="3"/>
      <c r="AI523" s="3"/>
      <c r="AP523" s="9"/>
    </row>
    <row r="524" ht="15.75" customHeight="1"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C524" s="9"/>
      <c r="AE524" s="3"/>
      <c r="AF524" s="3"/>
      <c r="AG524" s="3"/>
      <c r="AH524" s="3"/>
      <c r="AI524" s="3"/>
      <c r="AP524" s="9"/>
    </row>
    <row r="525" ht="15.75" customHeight="1"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C525" s="9"/>
      <c r="AE525" s="3"/>
      <c r="AF525" s="3"/>
      <c r="AG525" s="3"/>
      <c r="AH525" s="3"/>
      <c r="AI525" s="3"/>
      <c r="AP525" s="9"/>
    </row>
    <row r="526" ht="15.75" customHeight="1"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C526" s="9"/>
      <c r="AE526" s="3"/>
      <c r="AF526" s="3"/>
      <c r="AG526" s="3"/>
      <c r="AH526" s="3"/>
      <c r="AI526" s="3"/>
      <c r="AP526" s="9"/>
    </row>
    <row r="527" ht="15.75" customHeight="1"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C527" s="9"/>
      <c r="AE527" s="3"/>
      <c r="AF527" s="3"/>
      <c r="AG527" s="3"/>
      <c r="AH527" s="3"/>
      <c r="AI527" s="3"/>
      <c r="AP527" s="9"/>
    </row>
    <row r="528" ht="15.75" customHeight="1"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C528" s="9"/>
      <c r="AE528" s="3"/>
      <c r="AF528" s="3"/>
      <c r="AG528" s="3"/>
      <c r="AH528" s="3"/>
      <c r="AI528" s="3"/>
      <c r="AP528" s="9"/>
    </row>
    <row r="529" ht="15.75" customHeight="1"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C529" s="9"/>
      <c r="AE529" s="3"/>
      <c r="AF529" s="3"/>
      <c r="AG529" s="3"/>
      <c r="AH529" s="3"/>
      <c r="AI529" s="3"/>
      <c r="AP529" s="9"/>
    </row>
    <row r="530" ht="15.75" customHeight="1"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C530" s="9"/>
      <c r="AE530" s="3"/>
      <c r="AF530" s="3"/>
      <c r="AG530" s="3"/>
      <c r="AH530" s="3"/>
      <c r="AI530" s="3"/>
      <c r="AP530" s="9"/>
    </row>
    <row r="531" ht="15.75" customHeight="1"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C531" s="9"/>
      <c r="AE531" s="3"/>
      <c r="AF531" s="3"/>
      <c r="AG531" s="3"/>
      <c r="AH531" s="3"/>
      <c r="AI531" s="3"/>
      <c r="AP531" s="9"/>
    </row>
    <row r="532" ht="15.75" customHeight="1"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C532" s="9"/>
      <c r="AE532" s="3"/>
      <c r="AF532" s="3"/>
      <c r="AG532" s="3"/>
      <c r="AH532" s="3"/>
      <c r="AI532" s="3"/>
      <c r="AP532" s="9"/>
    </row>
    <row r="533" ht="15.75" customHeight="1"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C533" s="9"/>
      <c r="AE533" s="3"/>
      <c r="AF533" s="3"/>
      <c r="AG533" s="3"/>
      <c r="AH533" s="3"/>
      <c r="AI533" s="3"/>
      <c r="AP533" s="9"/>
    </row>
    <row r="534" ht="15.75" customHeight="1"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C534" s="9"/>
      <c r="AE534" s="3"/>
      <c r="AF534" s="3"/>
      <c r="AG534" s="3"/>
      <c r="AH534" s="3"/>
      <c r="AI534" s="3"/>
      <c r="AP534" s="9"/>
    </row>
    <row r="535" ht="15.75" customHeight="1"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C535" s="9"/>
      <c r="AE535" s="3"/>
      <c r="AF535" s="3"/>
      <c r="AG535" s="3"/>
      <c r="AH535" s="3"/>
      <c r="AI535" s="3"/>
      <c r="AP535" s="9"/>
    </row>
    <row r="536" ht="15.75" customHeight="1"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C536" s="9"/>
      <c r="AE536" s="3"/>
      <c r="AF536" s="3"/>
      <c r="AG536" s="3"/>
      <c r="AH536" s="3"/>
      <c r="AI536" s="3"/>
      <c r="AP536" s="9"/>
    </row>
    <row r="537" ht="15.75" customHeight="1"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C537" s="9"/>
      <c r="AE537" s="3"/>
      <c r="AF537" s="3"/>
      <c r="AG537" s="3"/>
      <c r="AH537" s="3"/>
      <c r="AI537" s="3"/>
      <c r="AP537" s="9"/>
    </row>
    <row r="538" ht="15.75" customHeight="1"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C538" s="9"/>
      <c r="AE538" s="3"/>
      <c r="AF538" s="3"/>
      <c r="AG538" s="3"/>
      <c r="AH538" s="3"/>
      <c r="AI538" s="3"/>
      <c r="AP538" s="9"/>
    </row>
    <row r="539" ht="15.75" customHeight="1"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C539" s="9"/>
      <c r="AE539" s="3"/>
      <c r="AF539" s="3"/>
      <c r="AG539" s="3"/>
      <c r="AH539" s="3"/>
      <c r="AI539" s="3"/>
      <c r="AP539" s="9"/>
    </row>
    <row r="540" ht="15.75" customHeight="1"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C540" s="9"/>
      <c r="AE540" s="3"/>
      <c r="AF540" s="3"/>
      <c r="AG540" s="3"/>
      <c r="AH540" s="3"/>
      <c r="AI540" s="3"/>
      <c r="AP540" s="9"/>
    </row>
    <row r="541" ht="15.75" customHeight="1"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C541" s="9"/>
      <c r="AE541" s="3"/>
      <c r="AF541" s="3"/>
      <c r="AG541" s="3"/>
      <c r="AH541" s="3"/>
      <c r="AI541" s="3"/>
      <c r="AP541" s="9"/>
    </row>
    <row r="542" ht="15.75" customHeight="1"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C542" s="9"/>
      <c r="AE542" s="3"/>
      <c r="AF542" s="3"/>
      <c r="AG542" s="3"/>
      <c r="AH542" s="3"/>
      <c r="AI542" s="3"/>
      <c r="AP542" s="9"/>
    </row>
    <row r="543" ht="15.75" customHeight="1"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C543" s="9"/>
      <c r="AE543" s="3"/>
      <c r="AF543" s="3"/>
      <c r="AG543" s="3"/>
      <c r="AH543" s="3"/>
      <c r="AI543" s="3"/>
      <c r="AP543" s="9"/>
    </row>
    <row r="544" ht="15.75" customHeight="1"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C544" s="9"/>
      <c r="AE544" s="3"/>
      <c r="AF544" s="3"/>
      <c r="AG544" s="3"/>
      <c r="AH544" s="3"/>
      <c r="AI544" s="3"/>
      <c r="AP544" s="9"/>
    </row>
    <row r="545" ht="15.75" customHeight="1"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C545" s="9"/>
      <c r="AE545" s="3"/>
      <c r="AF545" s="3"/>
      <c r="AG545" s="3"/>
      <c r="AH545" s="3"/>
      <c r="AI545" s="3"/>
      <c r="AP545" s="9"/>
    </row>
    <row r="546" ht="15.75" customHeight="1"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C546" s="9"/>
      <c r="AE546" s="3"/>
      <c r="AF546" s="3"/>
      <c r="AG546" s="3"/>
      <c r="AH546" s="3"/>
      <c r="AI546" s="3"/>
      <c r="AP546" s="9"/>
    </row>
    <row r="547" ht="15.75" customHeight="1"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C547" s="9"/>
      <c r="AE547" s="3"/>
      <c r="AF547" s="3"/>
      <c r="AG547" s="3"/>
      <c r="AH547" s="3"/>
      <c r="AI547" s="3"/>
      <c r="AP547" s="9"/>
    </row>
    <row r="548" ht="15.75" customHeight="1"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C548" s="9"/>
      <c r="AE548" s="3"/>
      <c r="AF548" s="3"/>
      <c r="AG548" s="3"/>
      <c r="AH548" s="3"/>
      <c r="AI548" s="3"/>
      <c r="AP548" s="9"/>
    </row>
    <row r="549" ht="15.75" customHeight="1"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C549" s="9"/>
      <c r="AE549" s="3"/>
      <c r="AF549" s="3"/>
      <c r="AG549" s="3"/>
      <c r="AH549" s="3"/>
      <c r="AI549" s="3"/>
      <c r="AP549" s="9"/>
    </row>
    <row r="550" ht="15.75" customHeight="1"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C550" s="9"/>
      <c r="AE550" s="3"/>
      <c r="AF550" s="3"/>
      <c r="AG550" s="3"/>
      <c r="AH550" s="3"/>
      <c r="AI550" s="3"/>
      <c r="AP550" s="9"/>
    </row>
    <row r="551" ht="15.75" customHeight="1"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C551" s="9"/>
      <c r="AE551" s="3"/>
      <c r="AF551" s="3"/>
      <c r="AG551" s="3"/>
      <c r="AH551" s="3"/>
      <c r="AI551" s="3"/>
      <c r="AP551" s="9"/>
    </row>
    <row r="552" ht="15.75" customHeight="1"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C552" s="9"/>
      <c r="AE552" s="3"/>
      <c r="AF552" s="3"/>
      <c r="AG552" s="3"/>
      <c r="AH552" s="3"/>
      <c r="AI552" s="3"/>
      <c r="AP552" s="9"/>
    </row>
    <row r="553" ht="15.75" customHeight="1"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C553" s="9"/>
      <c r="AE553" s="3"/>
      <c r="AF553" s="3"/>
      <c r="AG553" s="3"/>
      <c r="AH553" s="3"/>
      <c r="AI553" s="3"/>
      <c r="AP553" s="9"/>
    </row>
    <row r="554" ht="15.75" customHeight="1"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C554" s="9"/>
      <c r="AE554" s="3"/>
      <c r="AF554" s="3"/>
      <c r="AG554" s="3"/>
      <c r="AH554" s="3"/>
      <c r="AI554" s="3"/>
      <c r="AP554" s="9"/>
    </row>
    <row r="555" ht="15.75" customHeight="1"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C555" s="9"/>
      <c r="AE555" s="3"/>
      <c r="AF555" s="3"/>
      <c r="AG555" s="3"/>
      <c r="AH555" s="3"/>
      <c r="AI555" s="3"/>
      <c r="AP555" s="9"/>
    </row>
    <row r="556" ht="15.75" customHeight="1"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C556" s="9"/>
      <c r="AE556" s="3"/>
      <c r="AF556" s="3"/>
      <c r="AG556" s="3"/>
      <c r="AH556" s="3"/>
      <c r="AI556" s="3"/>
      <c r="AP556" s="9"/>
    </row>
    <row r="557" ht="15.75" customHeight="1"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C557" s="9"/>
      <c r="AE557" s="3"/>
      <c r="AF557" s="3"/>
      <c r="AG557" s="3"/>
      <c r="AH557" s="3"/>
      <c r="AI557" s="3"/>
      <c r="AP557" s="9"/>
    </row>
    <row r="558" ht="15.75" customHeight="1"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C558" s="9"/>
      <c r="AE558" s="3"/>
      <c r="AF558" s="3"/>
      <c r="AG558" s="3"/>
      <c r="AH558" s="3"/>
      <c r="AI558" s="3"/>
      <c r="AP558" s="9"/>
    </row>
    <row r="559" ht="15.75" customHeight="1"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C559" s="9"/>
      <c r="AE559" s="3"/>
      <c r="AF559" s="3"/>
      <c r="AG559" s="3"/>
      <c r="AH559" s="3"/>
      <c r="AI559" s="3"/>
      <c r="AP559" s="9"/>
    </row>
    <row r="560" ht="15.75" customHeight="1"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C560" s="9"/>
      <c r="AE560" s="3"/>
      <c r="AF560" s="3"/>
      <c r="AG560" s="3"/>
      <c r="AH560" s="3"/>
      <c r="AI560" s="3"/>
      <c r="AP560" s="9"/>
    </row>
    <row r="561" ht="15.75" customHeight="1"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C561" s="9"/>
      <c r="AE561" s="3"/>
      <c r="AF561" s="3"/>
      <c r="AG561" s="3"/>
      <c r="AH561" s="3"/>
      <c r="AI561" s="3"/>
      <c r="AP561" s="9"/>
    </row>
    <row r="562" ht="15.75" customHeight="1"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C562" s="9"/>
      <c r="AE562" s="3"/>
      <c r="AF562" s="3"/>
      <c r="AG562" s="3"/>
      <c r="AH562" s="3"/>
      <c r="AI562" s="3"/>
      <c r="AP562" s="9"/>
    </row>
    <row r="563" ht="15.75" customHeight="1"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C563" s="9"/>
      <c r="AE563" s="3"/>
      <c r="AF563" s="3"/>
      <c r="AG563" s="3"/>
      <c r="AH563" s="3"/>
      <c r="AI563" s="3"/>
      <c r="AP563" s="9"/>
    </row>
    <row r="564" ht="15.75" customHeight="1"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C564" s="9"/>
      <c r="AE564" s="3"/>
      <c r="AF564" s="3"/>
      <c r="AG564" s="3"/>
      <c r="AH564" s="3"/>
      <c r="AI564" s="3"/>
      <c r="AP564" s="9"/>
    </row>
    <row r="565" ht="15.75" customHeight="1"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C565" s="9"/>
      <c r="AE565" s="3"/>
      <c r="AF565" s="3"/>
      <c r="AG565" s="3"/>
      <c r="AH565" s="3"/>
      <c r="AI565" s="3"/>
      <c r="AP565" s="9"/>
    </row>
    <row r="566" ht="15.75" customHeight="1"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C566" s="9"/>
      <c r="AE566" s="3"/>
      <c r="AF566" s="3"/>
      <c r="AG566" s="3"/>
      <c r="AH566" s="3"/>
      <c r="AI566" s="3"/>
      <c r="AP566" s="9"/>
    </row>
    <row r="567" ht="15.75" customHeight="1"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C567" s="9"/>
      <c r="AE567" s="3"/>
      <c r="AF567" s="3"/>
      <c r="AG567" s="3"/>
      <c r="AH567" s="3"/>
      <c r="AI567" s="3"/>
      <c r="AP567" s="9"/>
    </row>
    <row r="568" ht="15.75" customHeight="1"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C568" s="9"/>
      <c r="AE568" s="3"/>
      <c r="AF568" s="3"/>
      <c r="AG568" s="3"/>
      <c r="AH568" s="3"/>
      <c r="AI568" s="3"/>
      <c r="AP568" s="9"/>
    </row>
    <row r="569" ht="15.75" customHeight="1"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C569" s="9"/>
      <c r="AE569" s="3"/>
      <c r="AF569" s="3"/>
      <c r="AG569" s="3"/>
      <c r="AH569" s="3"/>
      <c r="AI569" s="3"/>
      <c r="AP569" s="9"/>
    </row>
    <row r="570" ht="15.75" customHeight="1"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C570" s="9"/>
      <c r="AE570" s="3"/>
      <c r="AF570" s="3"/>
      <c r="AG570" s="3"/>
      <c r="AH570" s="3"/>
      <c r="AI570" s="3"/>
      <c r="AP570" s="9"/>
    </row>
    <row r="571" ht="15.75" customHeight="1"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C571" s="9"/>
      <c r="AE571" s="3"/>
      <c r="AF571" s="3"/>
      <c r="AG571" s="3"/>
      <c r="AH571" s="3"/>
      <c r="AI571" s="3"/>
      <c r="AP571" s="9"/>
    </row>
    <row r="572" ht="15.75" customHeight="1"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C572" s="9"/>
      <c r="AE572" s="3"/>
      <c r="AF572" s="3"/>
      <c r="AG572" s="3"/>
      <c r="AH572" s="3"/>
      <c r="AI572" s="3"/>
      <c r="AP572" s="9"/>
    </row>
    <row r="573" ht="15.75" customHeight="1"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C573" s="9"/>
      <c r="AE573" s="3"/>
      <c r="AF573" s="3"/>
      <c r="AG573" s="3"/>
      <c r="AH573" s="3"/>
      <c r="AI573" s="3"/>
      <c r="AP573" s="9"/>
    </row>
    <row r="574" ht="15.75" customHeight="1"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C574" s="9"/>
      <c r="AE574" s="3"/>
      <c r="AF574" s="3"/>
      <c r="AG574" s="3"/>
      <c r="AH574" s="3"/>
      <c r="AI574" s="3"/>
      <c r="AP574" s="9"/>
    </row>
    <row r="575" ht="15.75" customHeight="1"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C575" s="9"/>
      <c r="AE575" s="3"/>
      <c r="AF575" s="3"/>
      <c r="AG575" s="3"/>
      <c r="AH575" s="3"/>
      <c r="AI575" s="3"/>
      <c r="AP575" s="9"/>
    </row>
    <row r="576" ht="15.75" customHeight="1"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C576" s="9"/>
      <c r="AE576" s="3"/>
      <c r="AF576" s="3"/>
      <c r="AG576" s="3"/>
      <c r="AH576" s="3"/>
      <c r="AI576" s="3"/>
      <c r="AP576" s="9"/>
    </row>
    <row r="577" ht="15.75" customHeight="1"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C577" s="9"/>
      <c r="AE577" s="3"/>
      <c r="AF577" s="3"/>
      <c r="AG577" s="3"/>
      <c r="AH577" s="3"/>
      <c r="AI577" s="3"/>
      <c r="AP577" s="9"/>
    </row>
    <row r="578" ht="15.75" customHeight="1"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C578" s="9"/>
      <c r="AE578" s="3"/>
      <c r="AF578" s="3"/>
      <c r="AG578" s="3"/>
      <c r="AH578" s="3"/>
      <c r="AI578" s="3"/>
      <c r="AP578" s="9"/>
    </row>
    <row r="579" ht="15.75" customHeight="1"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C579" s="9"/>
      <c r="AE579" s="3"/>
      <c r="AF579" s="3"/>
      <c r="AG579" s="3"/>
      <c r="AH579" s="3"/>
      <c r="AI579" s="3"/>
      <c r="AP579" s="9"/>
    </row>
    <row r="580" ht="15.75" customHeight="1"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C580" s="9"/>
      <c r="AE580" s="3"/>
      <c r="AF580" s="3"/>
      <c r="AG580" s="3"/>
      <c r="AH580" s="3"/>
      <c r="AI580" s="3"/>
      <c r="AP580" s="9"/>
    </row>
    <row r="581" ht="15.75" customHeight="1"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C581" s="9"/>
      <c r="AE581" s="3"/>
      <c r="AF581" s="3"/>
      <c r="AG581" s="3"/>
      <c r="AH581" s="3"/>
      <c r="AI581" s="3"/>
      <c r="AP581" s="9"/>
    </row>
    <row r="582" ht="15.75" customHeight="1"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C582" s="9"/>
      <c r="AE582" s="3"/>
      <c r="AF582" s="3"/>
      <c r="AG582" s="3"/>
      <c r="AH582" s="3"/>
      <c r="AI582" s="3"/>
      <c r="AP582" s="9"/>
    </row>
    <row r="583" ht="15.75" customHeight="1"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C583" s="9"/>
      <c r="AE583" s="3"/>
      <c r="AF583" s="3"/>
      <c r="AG583" s="3"/>
      <c r="AH583" s="3"/>
      <c r="AI583" s="3"/>
      <c r="AP583" s="9"/>
    </row>
    <row r="584" ht="15.75" customHeight="1"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C584" s="9"/>
      <c r="AE584" s="3"/>
      <c r="AF584" s="3"/>
      <c r="AG584" s="3"/>
      <c r="AH584" s="3"/>
      <c r="AI584" s="3"/>
      <c r="AP584" s="9"/>
    </row>
    <row r="585" ht="15.75" customHeight="1"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C585" s="9"/>
      <c r="AE585" s="3"/>
      <c r="AF585" s="3"/>
      <c r="AG585" s="3"/>
      <c r="AH585" s="3"/>
      <c r="AI585" s="3"/>
      <c r="AP585" s="9"/>
    </row>
    <row r="586" ht="15.75" customHeight="1"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C586" s="9"/>
      <c r="AE586" s="3"/>
      <c r="AF586" s="3"/>
      <c r="AG586" s="3"/>
      <c r="AH586" s="3"/>
      <c r="AI586" s="3"/>
      <c r="AP586" s="9"/>
    </row>
    <row r="587" ht="15.75" customHeight="1"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C587" s="9"/>
      <c r="AE587" s="3"/>
      <c r="AF587" s="3"/>
      <c r="AG587" s="3"/>
      <c r="AH587" s="3"/>
      <c r="AI587" s="3"/>
      <c r="AP587" s="9"/>
    </row>
    <row r="588" ht="15.75" customHeight="1"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C588" s="9"/>
      <c r="AE588" s="3"/>
      <c r="AF588" s="3"/>
      <c r="AG588" s="3"/>
      <c r="AH588" s="3"/>
      <c r="AI588" s="3"/>
      <c r="AP588" s="9"/>
    </row>
    <row r="589" ht="15.75" customHeight="1"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C589" s="9"/>
      <c r="AE589" s="3"/>
      <c r="AF589" s="3"/>
      <c r="AG589" s="3"/>
      <c r="AH589" s="3"/>
      <c r="AI589" s="3"/>
      <c r="AP589" s="9"/>
    </row>
    <row r="590" ht="15.75" customHeight="1"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C590" s="9"/>
      <c r="AE590" s="3"/>
      <c r="AF590" s="3"/>
      <c r="AG590" s="3"/>
      <c r="AH590" s="3"/>
      <c r="AI590" s="3"/>
      <c r="AP590" s="9"/>
    </row>
    <row r="591" ht="15.75" customHeight="1"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C591" s="9"/>
      <c r="AE591" s="3"/>
      <c r="AF591" s="3"/>
      <c r="AG591" s="3"/>
      <c r="AH591" s="3"/>
      <c r="AI591" s="3"/>
      <c r="AP591" s="9"/>
    </row>
    <row r="592" ht="15.75" customHeight="1"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C592" s="9"/>
      <c r="AE592" s="3"/>
      <c r="AF592" s="3"/>
      <c r="AG592" s="3"/>
      <c r="AH592" s="3"/>
      <c r="AI592" s="3"/>
      <c r="AP592" s="9"/>
    </row>
    <row r="593" ht="15.75" customHeight="1"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C593" s="9"/>
      <c r="AE593" s="3"/>
      <c r="AF593" s="3"/>
      <c r="AG593" s="3"/>
      <c r="AH593" s="3"/>
      <c r="AI593" s="3"/>
      <c r="AP593" s="9"/>
    </row>
    <row r="594" ht="15.75" customHeight="1"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C594" s="9"/>
      <c r="AE594" s="3"/>
      <c r="AF594" s="3"/>
      <c r="AG594" s="3"/>
      <c r="AH594" s="3"/>
      <c r="AI594" s="3"/>
      <c r="AP594" s="9"/>
    </row>
    <row r="595" ht="15.75" customHeight="1"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C595" s="9"/>
      <c r="AE595" s="3"/>
      <c r="AF595" s="3"/>
      <c r="AG595" s="3"/>
      <c r="AH595" s="3"/>
      <c r="AI595" s="3"/>
      <c r="AP595" s="9"/>
    </row>
    <row r="596" ht="15.75" customHeight="1"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C596" s="9"/>
      <c r="AE596" s="3"/>
      <c r="AF596" s="3"/>
      <c r="AG596" s="3"/>
      <c r="AH596" s="3"/>
      <c r="AI596" s="3"/>
      <c r="AP596" s="9"/>
    </row>
    <row r="597" ht="15.75" customHeight="1"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C597" s="9"/>
      <c r="AE597" s="3"/>
      <c r="AF597" s="3"/>
      <c r="AG597" s="3"/>
      <c r="AH597" s="3"/>
      <c r="AI597" s="3"/>
      <c r="AP597" s="9"/>
    </row>
    <row r="598" ht="15.75" customHeight="1"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C598" s="9"/>
      <c r="AE598" s="3"/>
      <c r="AF598" s="3"/>
      <c r="AG598" s="3"/>
      <c r="AH598" s="3"/>
      <c r="AI598" s="3"/>
      <c r="AP598" s="9"/>
    </row>
    <row r="599" ht="15.75" customHeight="1"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C599" s="9"/>
      <c r="AE599" s="3"/>
      <c r="AF599" s="3"/>
      <c r="AG599" s="3"/>
      <c r="AH599" s="3"/>
      <c r="AI599" s="3"/>
      <c r="AP599" s="9"/>
    </row>
    <row r="600" ht="15.75" customHeight="1"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C600" s="9"/>
      <c r="AE600" s="3"/>
      <c r="AF600" s="3"/>
      <c r="AG600" s="3"/>
      <c r="AH600" s="3"/>
      <c r="AI600" s="3"/>
      <c r="AP600" s="9"/>
    </row>
    <row r="601" ht="15.75" customHeight="1"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C601" s="9"/>
      <c r="AE601" s="3"/>
      <c r="AF601" s="3"/>
      <c r="AG601" s="3"/>
      <c r="AH601" s="3"/>
      <c r="AI601" s="3"/>
      <c r="AP601" s="9"/>
    </row>
    <row r="602" ht="15.75" customHeight="1"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C602" s="9"/>
      <c r="AE602" s="3"/>
      <c r="AF602" s="3"/>
      <c r="AG602" s="3"/>
      <c r="AH602" s="3"/>
      <c r="AI602" s="3"/>
      <c r="AP602" s="9"/>
    </row>
    <row r="603" ht="15.75" customHeight="1"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C603" s="9"/>
      <c r="AE603" s="3"/>
      <c r="AF603" s="3"/>
      <c r="AG603" s="3"/>
      <c r="AH603" s="3"/>
      <c r="AI603" s="3"/>
      <c r="AP603" s="9"/>
    </row>
    <row r="604" ht="15.75" customHeight="1"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C604" s="9"/>
      <c r="AE604" s="3"/>
      <c r="AF604" s="3"/>
      <c r="AG604" s="3"/>
      <c r="AH604" s="3"/>
      <c r="AI604" s="3"/>
      <c r="AP604" s="9"/>
    </row>
    <row r="605" ht="15.75" customHeight="1"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C605" s="9"/>
      <c r="AE605" s="3"/>
      <c r="AF605" s="3"/>
      <c r="AG605" s="3"/>
      <c r="AH605" s="3"/>
      <c r="AI605" s="3"/>
      <c r="AP605" s="9"/>
    </row>
    <row r="606" ht="15.75" customHeight="1"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C606" s="9"/>
      <c r="AE606" s="3"/>
      <c r="AF606" s="3"/>
      <c r="AG606" s="3"/>
      <c r="AH606" s="3"/>
      <c r="AI606" s="3"/>
      <c r="AP606" s="9"/>
    </row>
    <row r="607" ht="15.75" customHeight="1"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C607" s="9"/>
      <c r="AE607" s="3"/>
      <c r="AF607" s="3"/>
      <c r="AG607" s="3"/>
      <c r="AH607" s="3"/>
      <c r="AI607" s="3"/>
      <c r="AP607" s="9"/>
    </row>
    <row r="608" ht="15.75" customHeight="1"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C608" s="9"/>
      <c r="AE608" s="3"/>
      <c r="AF608" s="3"/>
      <c r="AG608" s="3"/>
      <c r="AH608" s="3"/>
      <c r="AI608" s="3"/>
      <c r="AP608" s="9"/>
    </row>
    <row r="609" ht="15.75" customHeight="1"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C609" s="9"/>
      <c r="AE609" s="3"/>
      <c r="AF609" s="3"/>
      <c r="AG609" s="3"/>
      <c r="AH609" s="3"/>
      <c r="AI609" s="3"/>
      <c r="AP609" s="9"/>
    </row>
    <row r="610" ht="15.75" customHeight="1"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C610" s="9"/>
      <c r="AE610" s="3"/>
      <c r="AF610" s="3"/>
      <c r="AG610" s="3"/>
      <c r="AH610" s="3"/>
      <c r="AI610" s="3"/>
      <c r="AP610" s="9"/>
    </row>
    <row r="611" ht="15.75" customHeight="1"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C611" s="9"/>
      <c r="AE611" s="3"/>
      <c r="AF611" s="3"/>
      <c r="AG611" s="3"/>
      <c r="AH611" s="3"/>
      <c r="AI611" s="3"/>
      <c r="AP611" s="9"/>
    </row>
    <row r="612" ht="15.75" customHeight="1"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C612" s="9"/>
      <c r="AE612" s="3"/>
      <c r="AF612" s="3"/>
      <c r="AG612" s="3"/>
      <c r="AH612" s="3"/>
      <c r="AI612" s="3"/>
      <c r="AP612" s="9"/>
    </row>
    <row r="613" ht="15.75" customHeight="1"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C613" s="9"/>
      <c r="AE613" s="3"/>
      <c r="AF613" s="3"/>
      <c r="AG613" s="3"/>
      <c r="AH613" s="3"/>
      <c r="AI613" s="3"/>
      <c r="AP613" s="9"/>
    </row>
    <row r="614" ht="15.75" customHeight="1"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C614" s="9"/>
      <c r="AE614" s="3"/>
      <c r="AF614" s="3"/>
      <c r="AG614" s="3"/>
      <c r="AH614" s="3"/>
      <c r="AI614" s="3"/>
      <c r="AP614" s="9"/>
    </row>
    <row r="615" ht="15.75" customHeight="1"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C615" s="9"/>
      <c r="AE615" s="3"/>
      <c r="AF615" s="3"/>
      <c r="AG615" s="3"/>
      <c r="AH615" s="3"/>
      <c r="AI615" s="3"/>
      <c r="AP615" s="9"/>
    </row>
    <row r="616" ht="15.75" customHeight="1"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C616" s="9"/>
      <c r="AE616" s="3"/>
      <c r="AF616" s="3"/>
      <c r="AG616" s="3"/>
      <c r="AH616" s="3"/>
      <c r="AI616" s="3"/>
      <c r="AP616" s="9"/>
    </row>
    <row r="617" ht="15.75" customHeight="1"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C617" s="9"/>
      <c r="AE617" s="3"/>
      <c r="AF617" s="3"/>
      <c r="AG617" s="3"/>
      <c r="AH617" s="3"/>
      <c r="AI617" s="3"/>
      <c r="AP617" s="9"/>
    </row>
    <row r="618" ht="15.75" customHeight="1"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C618" s="9"/>
      <c r="AE618" s="3"/>
      <c r="AF618" s="3"/>
      <c r="AG618" s="3"/>
      <c r="AH618" s="3"/>
      <c r="AI618" s="3"/>
      <c r="AP618" s="9"/>
    </row>
    <row r="619" ht="15.75" customHeight="1"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C619" s="9"/>
      <c r="AE619" s="3"/>
      <c r="AF619" s="3"/>
      <c r="AG619" s="3"/>
      <c r="AH619" s="3"/>
      <c r="AI619" s="3"/>
      <c r="AP619" s="9"/>
    </row>
    <row r="620" ht="15.75" customHeight="1"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C620" s="9"/>
      <c r="AE620" s="3"/>
      <c r="AF620" s="3"/>
      <c r="AG620" s="3"/>
      <c r="AH620" s="3"/>
      <c r="AI620" s="3"/>
      <c r="AP620" s="9"/>
    </row>
    <row r="621" ht="15.75" customHeight="1"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C621" s="9"/>
      <c r="AE621" s="3"/>
      <c r="AF621" s="3"/>
      <c r="AG621" s="3"/>
      <c r="AH621" s="3"/>
      <c r="AI621" s="3"/>
      <c r="AP621" s="9"/>
    </row>
    <row r="622" ht="15.75" customHeight="1"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C622" s="9"/>
      <c r="AE622" s="3"/>
      <c r="AF622" s="3"/>
      <c r="AG622" s="3"/>
      <c r="AH622" s="3"/>
      <c r="AI622" s="3"/>
      <c r="AP622" s="9"/>
    </row>
    <row r="623" ht="15.75" customHeight="1"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C623" s="9"/>
      <c r="AE623" s="3"/>
      <c r="AF623" s="3"/>
      <c r="AG623" s="3"/>
      <c r="AH623" s="3"/>
      <c r="AI623" s="3"/>
      <c r="AP623" s="9"/>
    </row>
    <row r="624" ht="15.75" customHeight="1"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C624" s="9"/>
      <c r="AE624" s="3"/>
      <c r="AF624" s="3"/>
      <c r="AG624" s="3"/>
      <c r="AH624" s="3"/>
      <c r="AI624" s="3"/>
      <c r="AP624" s="9"/>
    </row>
    <row r="625" ht="15.75" customHeight="1"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C625" s="9"/>
      <c r="AE625" s="3"/>
      <c r="AF625" s="3"/>
      <c r="AG625" s="3"/>
      <c r="AH625" s="3"/>
      <c r="AI625" s="3"/>
      <c r="AP625" s="9"/>
    </row>
    <row r="626" ht="15.75" customHeight="1"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C626" s="9"/>
      <c r="AE626" s="3"/>
      <c r="AF626" s="3"/>
      <c r="AG626" s="3"/>
      <c r="AH626" s="3"/>
      <c r="AI626" s="3"/>
      <c r="AP626" s="9"/>
    </row>
    <row r="627" ht="15.75" customHeight="1"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C627" s="9"/>
      <c r="AE627" s="3"/>
      <c r="AF627" s="3"/>
      <c r="AG627" s="3"/>
      <c r="AH627" s="3"/>
      <c r="AI627" s="3"/>
      <c r="AP627" s="9"/>
    </row>
    <row r="628" ht="15.75" customHeight="1"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C628" s="9"/>
      <c r="AE628" s="3"/>
      <c r="AF628" s="3"/>
      <c r="AG628" s="3"/>
      <c r="AH628" s="3"/>
      <c r="AI628" s="3"/>
      <c r="AP628" s="9"/>
    </row>
    <row r="629" ht="15.75" customHeight="1"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C629" s="9"/>
      <c r="AE629" s="3"/>
      <c r="AF629" s="3"/>
      <c r="AG629" s="3"/>
      <c r="AH629" s="3"/>
      <c r="AI629" s="3"/>
      <c r="AP629" s="9"/>
    </row>
    <row r="630" ht="15.75" customHeight="1"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C630" s="9"/>
      <c r="AE630" s="3"/>
      <c r="AF630" s="3"/>
      <c r="AG630" s="3"/>
      <c r="AH630" s="3"/>
      <c r="AI630" s="3"/>
      <c r="AP630" s="9"/>
    </row>
    <row r="631" ht="15.75" customHeight="1"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C631" s="9"/>
      <c r="AE631" s="3"/>
      <c r="AF631" s="3"/>
      <c r="AG631" s="3"/>
      <c r="AH631" s="3"/>
      <c r="AI631" s="3"/>
      <c r="AP631" s="9"/>
    </row>
    <row r="632" ht="15.75" customHeight="1"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C632" s="9"/>
      <c r="AE632" s="3"/>
      <c r="AF632" s="3"/>
      <c r="AG632" s="3"/>
      <c r="AH632" s="3"/>
      <c r="AI632" s="3"/>
      <c r="AP632" s="9"/>
    </row>
    <row r="633" ht="15.75" customHeight="1"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C633" s="9"/>
      <c r="AE633" s="3"/>
      <c r="AF633" s="3"/>
      <c r="AG633" s="3"/>
      <c r="AH633" s="3"/>
      <c r="AI633" s="3"/>
      <c r="AP633" s="9"/>
    </row>
    <row r="634" ht="15.75" customHeight="1"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C634" s="9"/>
      <c r="AE634" s="3"/>
      <c r="AF634" s="3"/>
      <c r="AG634" s="3"/>
      <c r="AH634" s="3"/>
      <c r="AI634" s="3"/>
      <c r="AP634" s="9"/>
    </row>
    <row r="635" ht="15.75" customHeight="1"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C635" s="9"/>
      <c r="AE635" s="3"/>
      <c r="AF635" s="3"/>
      <c r="AG635" s="3"/>
      <c r="AH635" s="3"/>
      <c r="AI635" s="3"/>
      <c r="AP635" s="9"/>
    </row>
    <row r="636" ht="15.75" customHeight="1"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C636" s="9"/>
      <c r="AE636" s="3"/>
      <c r="AF636" s="3"/>
      <c r="AG636" s="3"/>
      <c r="AH636" s="3"/>
      <c r="AI636" s="3"/>
      <c r="AP636" s="9"/>
    </row>
    <row r="637" ht="15.75" customHeight="1"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C637" s="9"/>
      <c r="AE637" s="3"/>
      <c r="AF637" s="3"/>
      <c r="AG637" s="3"/>
      <c r="AH637" s="3"/>
      <c r="AI637" s="3"/>
      <c r="AP637" s="9"/>
    </row>
    <row r="638" ht="15.75" customHeight="1"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C638" s="9"/>
      <c r="AE638" s="3"/>
      <c r="AF638" s="3"/>
      <c r="AG638" s="3"/>
      <c r="AH638" s="3"/>
      <c r="AI638" s="3"/>
      <c r="AP638" s="9"/>
    </row>
    <row r="639" ht="15.75" customHeight="1"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C639" s="9"/>
      <c r="AE639" s="3"/>
      <c r="AF639" s="3"/>
      <c r="AG639" s="3"/>
      <c r="AH639" s="3"/>
      <c r="AI639" s="3"/>
      <c r="AP639" s="9"/>
    </row>
    <row r="640" ht="15.75" customHeight="1"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C640" s="9"/>
      <c r="AE640" s="3"/>
      <c r="AF640" s="3"/>
      <c r="AG640" s="3"/>
      <c r="AH640" s="3"/>
      <c r="AI640" s="3"/>
      <c r="AP640" s="9"/>
    </row>
    <row r="641" ht="15.75" customHeight="1"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C641" s="9"/>
      <c r="AE641" s="3"/>
      <c r="AF641" s="3"/>
      <c r="AG641" s="3"/>
      <c r="AH641" s="3"/>
      <c r="AI641" s="3"/>
      <c r="AP641" s="9"/>
    </row>
    <row r="642" ht="15.75" customHeight="1"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C642" s="9"/>
      <c r="AE642" s="3"/>
      <c r="AF642" s="3"/>
      <c r="AG642" s="3"/>
      <c r="AH642" s="3"/>
      <c r="AI642" s="3"/>
      <c r="AP642" s="9"/>
    </row>
    <row r="643" ht="15.75" customHeight="1"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C643" s="9"/>
      <c r="AE643" s="3"/>
      <c r="AF643" s="3"/>
      <c r="AG643" s="3"/>
      <c r="AH643" s="3"/>
      <c r="AI643" s="3"/>
      <c r="AP643" s="9"/>
    </row>
    <row r="644" ht="15.75" customHeight="1"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C644" s="9"/>
      <c r="AE644" s="3"/>
      <c r="AF644" s="3"/>
      <c r="AG644" s="3"/>
      <c r="AH644" s="3"/>
      <c r="AI644" s="3"/>
      <c r="AP644" s="9"/>
    </row>
    <row r="645" ht="15.75" customHeight="1"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C645" s="9"/>
      <c r="AE645" s="3"/>
      <c r="AF645" s="3"/>
      <c r="AG645" s="3"/>
      <c r="AH645" s="3"/>
      <c r="AI645" s="3"/>
      <c r="AP645" s="9"/>
    </row>
    <row r="646" ht="15.75" customHeight="1"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C646" s="9"/>
      <c r="AE646" s="3"/>
      <c r="AF646" s="3"/>
      <c r="AG646" s="3"/>
      <c r="AH646" s="3"/>
      <c r="AI646" s="3"/>
      <c r="AP646" s="9"/>
    </row>
    <row r="647" ht="15.75" customHeight="1"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C647" s="9"/>
      <c r="AE647" s="3"/>
      <c r="AF647" s="3"/>
      <c r="AG647" s="3"/>
      <c r="AH647" s="3"/>
      <c r="AI647" s="3"/>
      <c r="AP647" s="9"/>
    </row>
    <row r="648" ht="15.75" customHeight="1"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C648" s="9"/>
      <c r="AE648" s="3"/>
      <c r="AF648" s="3"/>
      <c r="AG648" s="3"/>
      <c r="AH648" s="3"/>
      <c r="AI648" s="3"/>
      <c r="AP648" s="9"/>
    </row>
    <row r="649" ht="15.75" customHeight="1"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C649" s="9"/>
      <c r="AE649" s="3"/>
      <c r="AF649" s="3"/>
      <c r="AG649" s="3"/>
      <c r="AH649" s="3"/>
      <c r="AI649" s="3"/>
      <c r="AP649" s="9"/>
    </row>
    <row r="650" ht="15.75" customHeight="1"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C650" s="9"/>
      <c r="AE650" s="3"/>
      <c r="AF650" s="3"/>
      <c r="AG650" s="3"/>
      <c r="AH650" s="3"/>
      <c r="AI650" s="3"/>
      <c r="AP650" s="9"/>
    </row>
    <row r="651" ht="15.75" customHeight="1"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C651" s="9"/>
      <c r="AE651" s="3"/>
      <c r="AF651" s="3"/>
      <c r="AG651" s="3"/>
      <c r="AH651" s="3"/>
      <c r="AI651" s="3"/>
      <c r="AP651" s="9"/>
    </row>
    <row r="652" ht="15.75" customHeight="1"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C652" s="9"/>
      <c r="AE652" s="3"/>
      <c r="AF652" s="3"/>
      <c r="AG652" s="3"/>
      <c r="AH652" s="3"/>
      <c r="AI652" s="3"/>
      <c r="AP652" s="9"/>
    </row>
    <row r="653" ht="15.75" customHeight="1"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C653" s="9"/>
      <c r="AE653" s="3"/>
      <c r="AF653" s="3"/>
      <c r="AG653" s="3"/>
      <c r="AH653" s="3"/>
      <c r="AI653" s="3"/>
      <c r="AP653" s="9"/>
    </row>
    <row r="654" ht="15.75" customHeight="1"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C654" s="9"/>
      <c r="AE654" s="3"/>
      <c r="AF654" s="3"/>
      <c r="AG654" s="3"/>
      <c r="AH654" s="3"/>
      <c r="AI654" s="3"/>
      <c r="AP654" s="9"/>
    </row>
    <row r="655" ht="15.75" customHeight="1"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C655" s="9"/>
      <c r="AE655" s="3"/>
      <c r="AF655" s="3"/>
      <c r="AG655" s="3"/>
      <c r="AH655" s="3"/>
      <c r="AI655" s="3"/>
      <c r="AP655" s="9"/>
    </row>
    <row r="656" ht="15.75" customHeight="1"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C656" s="9"/>
      <c r="AE656" s="3"/>
      <c r="AF656" s="3"/>
      <c r="AG656" s="3"/>
      <c r="AH656" s="3"/>
      <c r="AI656" s="3"/>
      <c r="AP656" s="9"/>
    </row>
    <row r="657" ht="15.75" customHeight="1"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C657" s="9"/>
      <c r="AE657" s="3"/>
      <c r="AF657" s="3"/>
      <c r="AG657" s="3"/>
      <c r="AH657" s="3"/>
      <c r="AI657" s="3"/>
      <c r="AP657" s="9"/>
    </row>
    <row r="658" ht="15.75" customHeight="1"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C658" s="9"/>
      <c r="AE658" s="3"/>
      <c r="AF658" s="3"/>
      <c r="AG658" s="3"/>
      <c r="AH658" s="3"/>
      <c r="AI658" s="3"/>
      <c r="AP658" s="9"/>
    </row>
    <row r="659" ht="15.75" customHeight="1"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C659" s="9"/>
      <c r="AE659" s="3"/>
      <c r="AF659" s="3"/>
      <c r="AG659" s="3"/>
      <c r="AH659" s="3"/>
      <c r="AI659" s="3"/>
      <c r="AP659" s="9"/>
    </row>
    <row r="660" ht="15.75" customHeight="1"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C660" s="9"/>
      <c r="AE660" s="3"/>
      <c r="AF660" s="3"/>
      <c r="AG660" s="3"/>
      <c r="AH660" s="3"/>
      <c r="AI660" s="3"/>
      <c r="AP660" s="9"/>
    </row>
    <row r="661" ht="15.75" customHeight="1"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C661" s="9"/>
      <c r="AE661" s="3"/>
      <c r="AF661" s="3"/>
      <c r="AG661" s="3"/>
      <c r="AH661" s="3"/>
      <c r="AI661" s="3"/>
      <c r="AP661" s="9"/>
    </row>
    <row r="662" ht="15.75" customHeight="1"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C662" s="9"/>
      <c r="AE662" s="3"/>
      <c r="AF662" s="3"/>
      <c r="AG662" s="3"/>
      <c r="AH662" s="3"/>
      <c r="AI662" s="3"/>
      <c r="AP662" s="9"/>
    </row>
    <row r="663" ht="15.75" customHeight="1"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C663" s="9"/>
      <c r="AE663" s="3"/>
      <c r="AF663" s="3"/>
      <c r="AG663" s="3"/>
      <c r="AH663" s="3"/>
      <c r="AI663" s="3"/>
      <c r="AP663" s="9"/>
    </row>
    <row r="664" ht="15.75" customHeight="1"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C664" s="9"/>
      <c r="AE664" s="3"/>
      <c r="AF664" s="3"/>
      <c r="AG664" s="3"/>
      <c r="AH664" s="3"/>
      <c r="AI664" s="3"/>
      <c r="AP664" s="9"/>
    </row>
    <row r="665" ht="15.75" customHeight="1"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C665" s="9"/>
      <c r="AE665" s="3"/>
      <c r="AF665" s="3"/>
      <c r="AG665" s="3"/>
      <c r="AH665" s="3"/>
      <c r="AI665" s="3"/>
      <c r="AP665" s="9"/>
    </row>
    <row r="666" ht="15.75" customHeight="1"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C666" s="9"/>
      <c r="AE666" s="3"/>
      <c r="AF666" s="3"/>
      <c r="AG666" s="3"/>
      <c r="AH666" s="3"/>
      <c r="AI666" s="3"/>
      <c r="AP666" s="9"/>
    </row>
    <row r="667" ht="15.75" customHeight="1"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C667" s="9"/>
      <c r="AE667" s="3"/>
      <c r="AF667" s="3"/>
      <c r="AG667" s="3"/>
      <c r="AH667" s="3"/>
      <c r="AI667" s="3"/>
      <c r="AP667" s="9"/>
    </row>
    <row r="668" ht="15.75" customHeight="1"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C668" s="9"/>
      <c r="AE668" s="3"/>
      <c r="AF668" s="3"/>
      <c r="AG668" s="3"/>
      <c r="AH668" s="3"/>
      <c r="AI668" s="3"/>
      <c r="AP668" s="9"/>
    </row>
    <row r="669" ht="15.75" customHeight="1"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C669" s="9"/>
      <c r="AE669" s="3"/>
      <c r="AF669" s="3"/>
      <c r="AG669" s="3"/>
      <c r="AH669" s="3"/>
      <c r="AI669" s="3"/>
      <c r="AP669" s="9"/>
    </row>
    <row r="670" ht="15.75" customHeight="1"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C670" s="9"/>
      <c r="AE670" s="3"/>
      <c r="AF670" s="3"/>
      <c r="AG670" s="3"/>
      <c r="AH670" s="3"/>
      <c r="AI670" s="3"/>
      <c r="AP670" s="9"/>
    </row>
    <row r="671" ht="15.75" customHeight="1"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C671" s="9"/>
      <c r="AE671" s="3"/>
      <c r="AF671" s="3"/>
      <c r="AG671" s="3"/>
      <c r="AH671" s="3"/>
      <c r="AI671" s="3"/>
      <c r="AP671" s="9"/>
    </row>
    <row r="672" ht="15.75" customHeight="1"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C672" s="9"/>
      <c r="AE672" s="3"/>
      <c r="AF672" s="3"/>
      <c r="AG672" s="3"/>
      <c r="AH672" s="3"/>
      <c r="AI672" s="3"/>
      <c r="AP672" s="9"/>
    </row>
    <row r="673" ht="15.75" customHeight="1"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C673" s="9"/>
      <c r="AE673" s="3"/>
      <c r="AF673" s="3"/>
      <c r="AG673" s="3"/>
      <c r="AH673" s="3"/>
      <c r="AI673" s="3"/>
      <c r="AP673" s="9"/>
    </row>
    <row r="674" ht="15.75" customHeight="1"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C674" s="9"/>
      <c r="AE674" s="3"/>
      <c r="AF674" s="3"/>
      <c r="AG674" s="3"/>
      <c r="AH674" s="3"/>
      <c r="AI674" s="3"/>
      <c r="AP674" s="9"/>
    </row>
    <row r="675" ht="15.75" customHeight="1"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C675" s="9"/>
      <c r="AE675" s="3"/>
      <c r="AF675" s="3"/>
      <c r="AG675" s="3"/>
      <c r="AH675" s="3"/>
      <c r="AI675" s="3"/>
      <c r="AP675" s="9"/>
    </row>
    <row r="676" ht="15.75" customHeight="1"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C676" s="9"/>
      <c r="AE676" s="3"/>
      <c r="AF676" s="3"/>
      <c r="AG676" s="3"/>
      <c r="AH676" s="3"/>
      <c r="AI676" s="3"/>
      <c r="AP676" s="9"/>
    </row>
    <row r="677" ht="15.75" customHeight="1"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C677" s="9"/>
      <c r="AE677" s="3"/>
      <c r="AF677" s="3"/>
      <c r="AG677" s="3"/>
      <c r="AH677" s="3"/>
      <c r="AI677" s="3"/>
      <c r="AP677" s="9"/>
    </row>
    <row r="678" ht="15.75" customHeight="1"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C678" s="9"/>
      <c r="AE678" s="3"/>
      <c r="AF678" s="3"/>
      <c r="AG678" s="3"/>
      <c r="AH678" s="3"/>
      <c r="AI678" s="3"/>
      <c r="AP678" s="9"/>
    </row>
    <row r="679" ht="15.75" customHeight="1"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C679" s="9"/>
      <c r="AE679" s="3"/>
      <c r="AF679" s="3"/>
      <c r="AG679" s="3"/>
      <c r="AH679" s="3"/>
      <c r="AI679" s="3"/>
      <c r="AP679" s="9"/>
    </row>
    <row r="680" ht="15.75" customHeight="1"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C680" s="9"/>
      <c r="AE680" s="3"/>
      <c r="AF680" s="3"/>
      <c r="AG680" s="3"/>
      <c r="AH680" s="3"/>
      <c r="AI680" s="3"/>
      <c r="AP680" s="9"/>
    </row>
    <row r="681" ht="15.75" customHeight="1"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C681" s="9"/>
      <c r="AE681" s="3"/>
      <c r="AF681" s="3"/>
      <c r="AG681" s="3"/>
      <c r="AH681" s="3"/>
      <c r="AI681" s="3"/>
      <c r="AP681" s="9"/>
    </row>
    <row r="682" ht="15.75" customHeight="1"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C682" s="9"/>
      <c r="AE682" s="3"/>
      <c r="AF682" s="3"/>
      <c r="AG682" s="3"/>
      <c r="AH682" s="3"/>
      <c r="AI682" s="3"/>
      <c r="AP682" s="9"/>
    </row>
    <row r="683" ht="15.75" customHeight="1"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C683" s="9"/>
      <c r="AE683" s="3"/>
      <c r="AF683" s="3"/>
      <c r="AG683" s="3"/>
      <c r="AH683" s="3"/>
      <c r="AI683" s="3"/>
      <c r="AP683" s="9"/>
    </row>
    <row r="684" ht="15.75" customHeight="1"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C684" s="9"/>
      <c r="AE684" s="3"/>
      <c r="AF684" s="3"/>
      <c r="AG684" s="3"/>
      <c r="AH684" s="3"/>
      <c r="AI684" s="3"/>
      <c r="AP684" s="9"/>
    </row>
    <row r="685" ht="15.75" customHeight="1"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C685" s="9"/>
      <c r="AE685" s="3"/>
      <c r="AF685" s="3"/>
      <c r="AG685" s="3"/>
      <c r="AH685" s="3"/>
      <c r="AI685" s="3"/>
      <c r="AP685" s="9"/>
    </row>
    <row r="686" ht="15.75" customHeight="1"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C686" s="9"/>
      <c r="AE686" s="3"/>
      <c r="AF686" s="3"/>
      <c r="AG686" s="3"/>
      <c r="AH686" s="3"/>
      <c r="AI686" s="3"/>
      <c r="AP686" s="9"/>
    </row>
    <row r="687" ht="15.75" customHeight="1"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C687" s="9"/>
      <c r="AE687" s="3"/>
      <c r="AF687" s="3"/>
      <c r="AG687" s="3"/>
      <c r="AH687" s="3"/>
      <c r="AI687" s="3"/>
      <c r="AP687" s="9"/>
    </row>
    <row r="688" ht="15.75" customHeight="1"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C688" s="9"/>
      <c r="AE688" s="3"/>
      <c r="AF688" s="3"/>
      <c r="AG688" s="3"/>
      <c r="AH688" s="3"/>
      <c r="AI688" s="3"/>
      <c r="AP688" s="9"/>
    </row>
    <row r="689" ht="15.75" customHeight="1"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C689" s="9"/>
      <c r="AE689" s="3"/>
      <c r="AF689" s="3"/>
      <c r="AG689" s="3"/>
      <c r="AH689" s="3"/>
      <c r="AI689" s="3"/>
      <c r="AP689" s="9"/>
    </row>
    <row r="690" ht="15.75" customHeight="1"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C690" s="9"/>
      <c r="AE690" s="3"/>
      <c r="AF690" s="3"/>
      <c r="AG690" s="3"/>
      <c r="AH690" s="3"/>
      <c r="AI690" s="3"/>
      <c r="AP690" s="9"/>
    </row>
    <row r="691" ht="15.75" customHeight="1"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C691" s="9"/>
      <c r="AE691" s="3"/>
      <c r="AF691" s="3"/>
      <c r="AG691" s="3"/>
      <c r="AH691" s="3"/>
      <c r="AI691" s="3"/>
      <c r="AP691" s="9"/>
    </row>
    <row r="692" ht="15.75" customHeight="1"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C692" s="9"/>
      <c r="AE692" s="3"/>
      <c r="AF692" s="3"/>
      <c r="AG692" s="3"/>
      <c r="AH692" s="3"/>
      <c r="AI692" s="3"/>
      <c r="AP692" s="9"/>
    </row>
    <row r="693" ht="15.75" customHeight="1"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C693" s="9"/>
      <c r="AE693" s="3"/>
      <c r="AF693" s="3"/>
      <c r="AG693" s="3"/>
      <c r="AH693" s="3"/>
      <c r="AI693" s="3"/>
      <c r="AP693" s="9"/>
    </row>
    <row r="694" ht="15.75" customHeight="1"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C694" s="9"/>
      <c r="AE694" s="3"/>
      <c r="AF694" s="3"/>
      <c r="AG694" s="3"/>
      <c r="AH694" s="3"/>
      <c r="AI694" s="3"/>
      <c r="AP694" s="9"/>
    </row>
    <row r="695" ht="15.75" customHeight="1"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C695" s="9"/>
      <c r="AE695" s="3"/>
      <c r="AF695" s="3"/>
      <c r="AG695" s="3"/>
      <c r="AH695" s="3"/>
      <c r="AI695" s="3"/>
      <c r="AP695" s="9"/>
    </row>
    <row r="696" ht="15.75" customHeight="1"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C696" s="9"/>
      <c r="AE696" s="3"/>
      <c r="AF696" s="3"/>
      <c r="AG696" s="3"/>
      <c r="AH696" s="3"/>
      <c r="AI696" s="3"/>
      <c r="AP696" s="9"/>
    </row>
    <row r="697" ht="15.75" customHeight="1"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C697" s="9"/>
      <c r="AE697" s="3"/>
      <c r="AF697" s="3"/>
      <c r="AG697" s="3"/>
      <c r="AH697" s="3"/>
      <c r="AI697" s="3"/>
      <c r="AP697" s="9"/>
    </row>
    <row r="698" ht="15.75" customHeight="1"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C698" s="9"/>
      <c r="AE698" s="3"/>
      <c r="AF698" s="3"/>
      <c r="AG698" s="3"/>
      <c r="AH698" s="3"/>
      <c r="AI698" s="3"/>
      <c r="AP698" s="9"/>
    </row>
    <row r="699" ht="15.75" customHeight="1"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C699" s="9"/>
      <c r="AE699" s="3"/>
      <c r="AF699" s="3"/>
      <c r="AG699" s="3"/>
      <c r="AH699" s="3"/>
      <c r="AI699" s="3"/>
      <c r="AP699" s="9"/>
    </row>
    <row r="700" ht="15.75" customHeight="1"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C700" s="9"/>
      <c r="AE700" s="3"/>
      <c r="AF700" s="3"/>
      <c r="AG700" s="3"/>
      <c r="AH700" s="3"/>
      <c r="AI700" s="3"/>
      <c r="AP700" s="9"/>
    </row>
    <row r="701" ht="15.75" customHeight="1"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C701" s="9"/>
      <c r="AE701" s="3"/>
      <c r="AF701" s="3"/>
      <c r="AG701" s="3"/>
      <c r="AH701" s="3"/>
      <c r="AI701" s="3"/>
      <c r="AP701" s="9"/>
    </row>
    <row r="702" ht="15.75" customHeight="1"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C702" s="9"/>
      <c r="AE702" s="3"/>
      <c r="AF702" s="3"/>
      <c r="AG702" s="3"/>
      <c r="AH702" s="3"/>
      <c r="AI702" s="3"/>
      <c r="AP702" s="9"/>
    </row>
    <row r="703" ht="15.75" customHeight="1"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C703" s="9"/>
      <c r="AE703" s="3"/>
      <c r="AF703" s="3"/>
      <c r="AG703" s="3"/>
      <c r="AH703" s="3"/>
      <c r="AI703" s="3"/>
      <c r="AP703" s="9"/>
    </row>
    <row r="704" ht="15.75" customHeight="1"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C704" s="9"/>
      <c r="AE704" s="3"/>
      <c r="AF704" s="3"/>
      <c r="AG704" s="3"/>
      <c r="AH704" s="3"/>
      <c r="AI704" s="3"/>
      <c r="AP704" s="9"/>
    </row>
    <row r="705" ht="15.75" customHeight="1"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C705" s="9"/>
      <c r="AE705" s="3"/>
      <c r="AF705" s="3"/>
      <c r="AG705" s="3"/>
      <c r="AH705" s="3"/>
      <c r="AI705" s="3"/>
      <c r="AP705" s="9"/>
    </row>
    <row r="706" ht="15.75" customHeight="1"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C706" s="9"/>
      <c r="AE706" s="3"/>
      <c r="AF706" s="3"/>
      <c r="AG706" s="3"/>
      <c r="AH706" s="3"/>
      <c r="AI706" s="3"/>
      <c r="AP706" s="9"/>
    </row>
    <row r="707" ht="15.75" customHeight="1"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C707" s="9"/>
      <c r="AE707" s="3"/>
      <c r="AF707" s="3"/>
      <c r="AG707" s="3"/>
      <c r="AH707" s="3"/>
      <c r="AI707" s="3"/>
      <c r="AP707" s="9"/>
    </row>
    <row r="708" ht="15.75" customHeight="1"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C708" s="9"/>
      <c r="AE708" s="3"/>
      <c r="AF708" s="3"/>
      <c r="AG708" s="3"/>
      <c r="AH708" s="3"/>
      <c r="AI708" s="3"/>
      <c r="AP708" s="9"/>
    </row>
    <row r="709" ht="15.75" customHeight="1"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C709" s="9"/>
      <c r="AE709" s="3"/>
      <c r="AF709" s="3"/>
      <c r="AG709" s="3"/>
      <c r="AH709" s="3"/>
      <c r="AI709" s="3"/>
      <c r="AP709" s="9"/>
    </row>
    <row r="710" ht="15.75" customHeight="1"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C710" s="9"/>
      <c r="AE710" s="3"/>
      <c r="AF710" s="3"/>
      <c r="AG710" s="3"/>
      <c r="AH710" s="3"/>
      <c r="AI710" s="3"/>
      <c r="AP710" s="9"/>
    </row>
    <row r="711" ht="15.75" customHeight="1"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C711" s="9"/>
      <c r="AE711" s="3"/>
      <c r="AF711" s="3"/>
      <c r="AG711" s="3"/>
      <c r="AH711" s="3"/>
      <c r="AI711" s="3"/>
      <c r="AP711" s="9"/>
    </row>
    <row r="712" ht="15.75" customHeight="1"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C712" s="9"/>
      <c r="AE712" s="3"/>
      <c r="AF712" s="3"/>
      <c r="AG712" s="3"/>
      <c r="AH712" s="3"/>
      <c r="AI712" s="3"/>
      <c r="AP712" s="9"/>
    </row>
    <row r="713" ht="15.75" customHeight="1"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C713" s="9"/>
      <c r="AE713" s="3"/>
      <c r="AF713" s="3"/>
      <c r="AG713" s="3"/>
      <c r="AH713" s="3"/>
      <c r="AI713" s="3"/>
      <c r="AP713" s="9"/>
    </row>
    <row r="714" ht="15.75" customHeight="1"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C714" s="9"/>
      <c r="AE714" s="3"/>
      <c r="AF714" s="3"/>
      <c r="AG714" s="3"/>
      <c r="AH714" s="3"/>
      <c r="AI714" s="3"/>
      <c r="AP714" s="9"/>
    </row>
    <row r="715" ht="15.75" customHeight="1"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C715" s="9"/>
      <c r="AE715" s="3"/>
      <c r="AF715" s="3"/>
      <c r="AG715" s="3"/>
      <c r="AH715" s="3"/>
      <c r="AI715" s="3"/>
      <c r="AP715" s="9"/>
    </row>
    <row r="716" ht="15.75" customHeight="1"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C716" s="9"/>
      <c r="AE716" s="3"/>
      <c r="AF716" s="3"/>
      <c r="AG716" s="3"/>
      <c r="AH716" s="3"/>
      <c r="AI716" s="3"/>
      <c r="AP716" s="9"/>
    </row>
    <row r="717" ht="15.75" customHeight="1"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C717" s="9"/>
      <c r="AE717" s="3"/>
      <c r="AF717" s="3"/>
      <c r="AG717" s="3"/>
      <c r="AH717" s="3"/>
      <c r="AI717" s="3"/>
      <c r="AP717" s="9"/>
    </row>
    <row r="718" ht="15.75" customHeight="1"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C718" s="9"/>
      <c r="AE718" s="3"/>
      <c r="AF718" s="3"/>
      <c r="AG718" s="3"/>
      <c r="AH718" s="3"/>
      <c r="AI718" s="3"/>
      <c r="AP718" s="9"/>
    </row>
    <row r="719" ht="15.75" customHeight="1"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C719" s="9"/>
      <c r="AE719" s="3"/>
      <c r="AF719" s="3"/>
      <c r="AG719" s="3"/>
      <c r="AH719" s="3"/>
      <c r="AI719" s="3"/>
      <c r="AP719" s="9"/>
    </row>
    <row r="720" ht="15.75" customHeight="1"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C720" s="9"/>
      <c r="AE720" s="3"/>
      <c r="AF720" s="3"/>
      <c r="AG720" s="3"/>
      <c r="AH720" s="3"/>
      <c r="AI720" s="3"/>
      <c r="AP720" s="9"/>
    </row>
    <row r="721" ht="15.75" customHeight="1"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C721" s="9"/>
      <c r="AE721" s="3"/>
      <c r="AF721" s="3"/>
      <c r="AG721" s="3"/>
      <c r="AH721" s="3"/>
      <c r="AI721" s="3"/>
      <c r="AP721" s="9"/>
    </row>
    <row r="722" ht="15.75" customHeight="1"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C722" s="9"/>
      <c r="AE722" s="3"/>
      <c r="AF722" s="3"/>
      <c r="AG722" s="3"/>
      <c r="AH722" s="3"/>
      <c r="AI722" s="3"/>
      <c r="AP722" s="9"/>
    </row>
    <row r="723" ht="15.75" customHeight="1"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C723" s="9"/>
      <c r="AE723" s="3"/>
      <c r="AF723" s="3"/>
      <c r="AG723" s="3"/>
      <c r="AH723" s="3"/>
      <c r="AI723" s="3"/>
      <c r="AP723" s="9"/>
    </row>
    <row r="724" ht="15.75" customHeight="1"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C724" s="9"/>
      <c r="AE724" s="3"/>
      <c r="AF724" s="3"/>
      <c r="AG724" s="3"/>
      <c r="AH724" s="3"/>
      <c r="AI724" s="3"/>
      <c r="AP724" s="9"/>
    </row>
    <row r="725" ht="15.75" customHeight="1"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C725" s="9"/>
      <c r="AE725" s="3"/>
      <c r="AF725" s="3"/>
      <c r="AG725" s="3"/>
      <c r="AH725" s="3"/>
      <c r="AI725" s="3"/>
      <c r="AP725" s="9"/>
    </row>
    <row r="726" ht="15.75" customHeight="1"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C726" s="9"/>
      <c r="AE726" s="3"/>
      <c r="AF726" s="3"/>
      <c r="AG726" s="3"/>
      <c r="AH726" s="3"/>
      <c r="AI726" s="3"/>
      <c r="AP726" s="9"/>
    </row>
    <row r="727" ht="15.75" customHeight="1"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C727" s="9"/>
      <c r="AE727" s="3"/>
      <c r="AF727" s="3"/>
      <c r="AG727" s="3"/>
      <c r="AH727" s="3"/>
      <c r="AI727" s="3"/>
      <c r="AP727" s="9"/>
    </row>
    <row r="728" ht="15.75" customHeight="1"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C728" s="9"/>
      <c r="AE728" s="3"/>
      <c r="AF728" s="3"/>
      <c r="AG728" s="3"/>
      <c r="AH728" s="3"/>
      <c r="AI728" s="3"/>
      <c r="AP728" s="9"/>
    </row>
    <row r="729" ht="15.75" customHeight="1"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C729" s="9"/>
      <c r="AE729" s="3"/>
      <c r="AF729" s="3"/>
      <c r="AG729" s="3"/>
      <c r="AH729" s="3"/>
      <c r="AI729" s="3"/>
      <c r="AP729" s="9"/>
    </row>
    <row r="730" ht="15.75" customHeight="1"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C730" s="9"/>
      <c r="AE730" s="3"/>
      <c r="AF730" s="3"/>
      <c r="AG730" s="3"/>
      <c r="AH730" s="3"/>
      <c r="AI730" s="3"/>
      <c r="AP730" s="9"/>
    </row>
    <row r="731" ht="15.75" customHeight="1"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C731" s="9"/>
      <c r="AE731" s="3"/>
      <c r="AF731" s="3"/>
      <c r="AG731" s="3"/>
      <c r="AH731" s="3"/>
      <c r="AI731" s="3"/>
      <c r="AP731" s="9"/>
    </row>
    <row r="732" ht="15.75" customHeight="1"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C732" s="9"/>
      <c r="AE732" s="3"/>
      <c r="AF732" s="3"/>
      <c r="AG732" s="3"/>
      <c r="AH732" s="3"/>
      <c r="AI732" s="3"/>
      <c r="AP732" s="9"/>
    </row>
    <row r="733" ht="15.75" customHeight="1"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C733" s="9"/>
      <c r="AE733" s="3"/>
      <c r="AF733" s="3"/>
      <c r="AG733" s="3"/>
      <c r="AH733" s="3"/>
      <c r="AI733" s="3"/>
      <c r="AP733" s="9"/>
    </row>
    <row r="734" ht="15.75" customHeight="1"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C734" s="9"/>
      <c r="AE734" s="3"/>
      <c r="AF734" s="3"/>
      <c r="AG734" s="3"/>
      <c r="AH734" s="3"/>
      <c r="AI734" s="3"/>
      <c r="AP734" s="9"/>
    </row>
    <row r="735" ht="15.75" customHeight="1"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C735" s="9"/>
      <c r="AE735" s="3"/>
      <c r="AF735" s="3"/>
      <c r="AG735" s="3"/>
      <c r="AH735" s="3"/>
      <c r="AI735" s="3"/>
      <c r="AP735" s="9"/>
    </row>
    <row r="736" ht="15.75" customHeight="1"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C736" s="9"/>
      <c r="AE736" s="3"/>
      <c r="AF736" s="3"/>
      <c r="AG736" s="3"/>
      <c r="AH736" s="3"/>
      <c r="AI736" s="3"/>
      <c r="AP736" s="9"/>
    </row>
    <row r="737" ht="15.75" customHeight="1"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C737" s="9"/>
      <c r="AE737" s="3"/>
      <c r="AF737" s="3"/>
      <c r="AG737" s="3"/>
      <c r="AH737" s="3"/>
      <c r="AI737" s="3"/>
      <c r="AP737" s="9"/>
    </row>
    <row r="738" ht="15.75" customHeight="1"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C738" s="9"/>
      <c r="AE738" s="3"/>
      <c r="AF738" s="3"/>
      <c r="AG738" s="3"/>
      <c r="AH738" s="3"/>
      <c r="AI738" s="3"/>
      <c r="AP738" s="9"/>
    </row>
    <row r="739" ht="15.75" customHeight="1"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C739" s="9"/>
      <c r="AE739" s="3"/>
      <c r="AF739" s="3"/>
      <c r="AG739" s="3"/>
      <c r="AH739" s="3"/>
      <c r="AI739" s="3"/>
      <c r="AP739" s="9"/>
    </row>
    <row r="740" ht="15.75" customHeight="1"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C740" s="9"/>
      <c r="AE740" s="3"/>
      <c r="AF740" s="3"/>
      <c r="AG740" s="3"/>
      <c r="AH740" s="3"/>
      <c r="AI740" s="3"/>
      <c r="AP740" s="9"/>
    </row>
    <row r="741" ht="15.75" customHeight="1"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C741" s="9"/>
      <c r="AE741" s="3"/>
      <c r="AF741" s="3"/>
      <c r="AG741" s="3"/>
      <c r="AH741" s="3"/>
      <c r="AI741" s="3"/>
      <c r="AP741" s="9"/>
    </row>
    <row r="742" ht="15.75" customHeight="1"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C742" s="9"/>
      <c r="AE742" s="3"/>
      <c r="AF742" s="3"/>
      <c r="AG742" s="3"/>
      <c r="AH742" s="3"/>
      <c r="AI742" s="3"/>
      <c r="AP742" s="9"/>
    </row>
    <row r="743" ht="15.75" customHeight="1"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C743" s="9"/>
      <c r="AE743" s="3"/>
      <c r="AF743" s="3"/>
      <c r="AG743" s="3"/>
      <c r="AH743" s="3"/>
      <c r="AI743" s="3"/>
      <c r="AP743" s="9"/>
    </row>
    <row r="744" ht="15.75" customHeight="1"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C744" s="9"/>
      <c r="AE744" s="3"/>
      <c r="AF744" s="3"/>
      <c r="AG744" s="3"/>
      <c r="AH744" s="3"/>
      <c r="AI744" s="3"/>
      <c r="AP744" s="9"/>
    </row>
    <row r="745" ht="15.75" customHeight="1"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C745" s="9"/>
      <c r="AE745" s="3"/>
      <c r="AF745" s="3"/>
      <c r="AG745" s="3"/>
      <c r="AH745" s="3"/>
      <c r="AI745" s="3"/>
      <c r="AP745" s="9"/>
    </row>
    <row r="746" ht="15.75" customHeight="1"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C746" s="9"/>
      <c r="AE746" s="3"/>
      <c r="AF746" s="3"/>
      <c r="AG746" s="3"/>
      <c r="AH746" s="3"/>
      <c r="AI746" s="3"/>
      <c r="AP746" s="9"/>
    </row>
    <row r="747" ht="15.75" customHeight="1"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C747" s="9"/>
      <c r="AE747" s="3"/>
      <c r="AF747" s="3"/>
      <c r="AG747" s="3"/>
      <c r="AH747" s="3"/>
      <c r="AI747" s="3"/>
      <c r="AP747" s="9"/>
    </row>
    <row r="748" ht="15.75" customHeight="1"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C748" s="9"/>
      <c r="AE748" s="3"/>
      <c r="AF748" s="3"/>
      <c r="AG748" s="3"/>
      <c r="AH748" s="3"/>
      <c r="AI748" s="3"/>
      <c r="AP748" s="9"/>
    </row>
    <row r="749" ht="15.75" customHeight="1"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C749" s="9"/>
      <c r="AE749" s="3"/>
      <c r="AF749" s="3"/>
      <c r="AG749" s="3"/>
      <c r="AH749" s="3"/>
      <c r="AI749" s="3"/>
      <c r="AP749" s="9"/>
    </row>
    <row r="750" ht="15.75" customHeight="1"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C750" s="9"/>
      <c r="AE750" s="3"/>
      <c r="AF750" s="3"/>
      <c r="AG750" s="3"/>
      <c r="AH750" s="3"/>
      <c r="AI750" s="3"/>
      <c r="AP750" s="9"/>
    </row>
    <row r="751" ht="15.75" customHeight="1"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C751" s="9"/>
      <c r="AE751" s="3"/>
      <c r="AF751" s="3"/>
      <c r="AG751" s="3"/>
      <c r="AH751" s="3"/>
      <c r="AI751" s="3"/>
      <c r="AP751" s="9"/>
    </row>
    <row r="752" ht="15.75" customHeight="1"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C752" s="9"/>
      <c r="AE752" s="3"/>
      <c r="AF752" s="3"/>
      <c r="AG752" s="3"/>
      <c r="AH752" s="3"/>
      <c r="AI752" s="3"/>
      <c r="AP752" s="9"/>
    </row>
    <row r="753" ht="15.75" customHeight="1"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C753" s="9"/>
      <c r="AE753" s="3"/>
      <c r="AF753" s="3"/>
      <c r="AG753" s="3"/>
      <c r="AH753" s="3"/>
      <c r="AI753" s="3"/>
      <c r="AP753" s="9"/>
    </row>
    <row r="754" ht="15.75" customHeight="1"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C754" s="9"/>
      <c r="AE754" s="3"/>
      <c r="AF754" s="3"/>
      <c r="AG754" s="3"/>
      <c r="AH754" s="3"/>
      <c r="AI754" s="3"/>
      <c r="AP754" s="9"/>
    </row>
    <row r="755" ht="15.75" customHeight="1"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C755" s="9"/>
      <c r="AE755" s="3"/>
      <c r="AF755" s="3"/>
      <c r="AG755" s="3"/>
      <c r="AH755" s="3"/>
      <c r="AI755" s="3"/>
      <c r="AP755" s="9"/>
    </row>
    <row r="756" ht="15.75" customHeight="1"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C756" s="9"/>
      <c r="AE756" s="3"/>
      <c r="AF756" s="3"/>
      <c r="AG756" s="3"/>
      <c r="AH756" s="3"/>
      <c r="AI756" s="3"/>
      <c r="AP756" s="9"/>
    </row>
    <row r="757" ht="15.75" customHeight="1"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C757" s="9"/>
      <c r="AE757" s="3"/>
      <c r="AF757" s="3"/>
      <c r="AG757" s="3"/>
      <c r="AH757" s="3"/>
      <c r="AI757" s="3"/>
      <c r="AP757" s="9"/>
    </row>
    <row r="758" ht="15.75" customHeight="1"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C758" s="9"/>
      <c r="AE758" s="3"/>
      <c r="AF758" s="3"/>
      <c r="AG758" s="3"/>
      <c r="AH758" s="3"/>
      <c r="AI758" s="3"/>
      <c r="AP758" s="9"/>
    </row>
    <row r="759" ht="15.75" customHeight="1"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C759" s="9"/>
      <c r="AE759" s="3"/>
      <c r="AF759" s="3"/>
      <c r="AG759" s="3"/>
      <c r="AH759" s="3"/>
      <c r="AI759" s="3"/>
      <c r="AP759" s="9"/>
    </row>
    <row r="760" ht="15.75" customHeight="1"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C760" s="9"/>
      <c r="AE760" s="3"/>
      <c r="AF760" s="3"/>
      <c r="AG760" s="3"/>
      <c r="AH760" s="3"/>
      <c r="AI760" s="3"/>
      <c r="AP760" s="9"/>
    </row>
    <row r="761" ht="15.75" customHeight="1"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C761" s="9"/>
      <c r="AE761" s="3"/>
      <c r="AF761" s="3"/>
      <c r="AG761" s="3"/>
      <c r="AH761" s="3"/>
      <c r="AI761" s="3"/>
      <c r="AP761" s="9"/>
    </row>
    <row r="762" ht="15.75" customHeight="1"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C762" s="9"/>
      <c r="AE762" s="3"/>
      <c r="AF762" s="3"/>
      <c r="AG762" s="3"/>
      <c r="AH762" s="3"/>
      <c r="AI762" s="3"/>
      <c r="AP762" s="9"/>
    </row>
    <row r="763" ht="15.75" customHeight="1"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C763" s="9"/>
      <c r="AE763" s="3"/>
      <c r="AF763" s="3"/>
      <c r="AG763" s="3"/>
      <c r="AH763" s="3"/>
      <c r="AI763" s="3"/>
      <c r="AP763" s="9"/>
    </row>
    <row r="764" ht="15.75" customHeight="1"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C764" s="9"/>
      <c r="AE764" s="3"/>
      <c r="AF764" s="3"/>
      <c r="AG764" s="3"/>
      <c r="AH764" s="3"/>
      <c r="AI764" s="3"/>
      <c r="AP764" s="9"/>
    </row>
    <row r="765" ht="15.75" customHeight="1"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C765" s="9"/>
      <c r="AE765" s="3"/>
      <c r="AF765" s="3"/>
      <c r="AG765" s="3"/>
      <c r="AH765" s="3"/>
      <c r="AI765" s="3"/>
      <c r="AP765" s="9"/>
    </row>
    <row r="766" ht="15.75" customHeight="1"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C766" s="9"/>
      <c r="AE766" s="3"/>
      <c r="AF766" s="3"/>
      <c r="AG766" s="3"/>
      <c r="AH766" s="3"/>
      <c r="AI766" s="3"/>
      <c r="AP766" s="9"/>
    </row>
    <row r="767" ht="15.75" customHeight="1"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C767" s="9"/>
      <c r="AE767" s="3"/>
      <c r="AF767" s="3"/>
      <c r="AG767" s="3"/>
      <c r="AH767" s="3"/>
      <c r="AI767" s="3"/>
      <c r="AP767" s="9"/>
    </row>
    <row r="768" ht="15.75" customHeight="1"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C768" s="9"/>
      <c r="AE768" s="3"/>
      <c r="AF768" s="3"/>
      <c r="AG768" s="3"/>
      <c r="AH768" s="3"/>
      <c r="AI768" s="3"/>
      <c r="AP768" s="9"/>
    </row>
    <row r="769" ht="15.75" customHeight="1"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C769" s="9"/>
      <c r="AE769" s="3"/>
      <c r="AF769" s="3"/>
      <c r="AG769" s="3"/>
      <c r="AH769" s="3"/>
      <c r="AI769" s="3"/>
      <c r="AP769" s="9"/>
    </row>
    <row r="770" ht="15.75" customHeight="1"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C770" s="9"/>
      <c r="AE770" s="3"/>
      <c r="AF770" s="3"/>
      <c r="AG770" s="3"/>
      <c r="AH770" s="3"/>
      <c r="AI770" s="3"/>
      <c r="AP770" s="9"/>
    </row>
    <row r="771" ht="15.75" customHeight="1"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C771" s="9"/>
      <c r="AE771" s="3"/>
      <c r="AF771" s="3"/>
      <c r="AG771" s="3"/>
      <c r="AH771" s="3"/>
      <c r="AI771" s="3"/>
      <c r="AP771" s="9"/>
    </row>
    <row r="772" ht="15.75" customHeight="1"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C772" s="9"/>
      <c r="AE772" s="3"/>
      <c r="AF772" s="3"/>
      <c r="AG772" s="3"/>
      <c r="AH772" s="3"/>
      <c r="AI772" s="3"/>
      <c r="AP772" s="9"/>
    </row>
    <row r="773" ht="15.75" customHeight="1"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C773" s="9"/>
      <c r="AE773" s="3"/>
      <c r="AF773" s="3"/>
      <c r="AG773" s="3"/>
      <c r="AH773" s="3"/>
      <c r="AI773" s="3"/>
      <c r="AP773" s="9"/>
    </row>
    <row r="774" ht="15.75" customHeight="1"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C774" s="9"/>
      <c r="AE774" s="3"/>
      <c r="AF774" s="3"/>
      <c r="AG774" s="3"/>
      <c r="AH774" s="3"/>
      <c r="AI774" s="3"/>
      <c r="AP774" s="9"/>
    </row>
    <row r="775" ht="15.75" customHeight="1"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C775" s="9"/>
      <c r="AE775" s="3"/>
      <c r="AF775" s="3"/>
      <c r="AG775" s="3"/>
      <c r="AH775" s="3"/>
      <c r="AI775" s="3"/>
      <c r="AP775" s="9"/>
    </row>
    <row r="776" ht="15.75" customHeight="1"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C776" s="9"/>
      <c r="AE776" s="3"/>
      <c r="AF776" s="3"/>
      <c r="AG776" s="3"/>
      <c r="AH776" s="3"/>
      <c r="AI776" s="3"/>
      <c r="AP776" s="9"/>
    </row>
    <row r="777" ht="15.75" customHeight="1"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C777" s="9"/>
      <c r="AE777" s="3"/>
      <c r="AF777" s="3"/>
      <c r="AG777" s="3"/>
      <c r="AH777" s="3"/>
      <c r="AI777" s="3"/>
      <c r="AP777" s="9"/>
    </row>
    <row r="778" ht="15.75" customHeight="1"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C778" s="9"/>
      <c r="AE778" s="3"/>
      <c r="AF778" s="3"/>
      <c r="AG778" s="3"/>
      <c r="AH778" s="3"/>
      <c r="AI778" s="3"/>
      <c r="AP778" s="9"/>
    </row>
    <row r="779" ht="15.75" customHeight="1"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C779" s="9"/>
      <c r="AE779" s="3"/>
      <c r="AF779" s="3"/>
      <c r="AG779" s="3"/>
      <c r="AH779" s="3"/>
      <c r="AI779" s="3"/>
      <c r="AP779" s="9"/>
    </row>
    <row r="780" ht="15.75" customHeight="1"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C780" s="9"/>
      <c r="AE780" s="3"/>
      <c r="AF780" s="3"/>
      <c r="AG780" s="3"/>
      <c r="AH780" s="3"/>
      <c r="AI780" s="3"/>
      <c r="AP780" s="9"/>
    </row>
    <row r="781" ht="15.75" customHeight="1"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C781" s="9"/>
      <c r="AE781" s="3"/>
      <c r="AF781" s="3"/>
      <c r="AG781" s="3"/>
      <c r="AH781" s="3"/>
      <c r="AI781" s="3"/>
      <c r="AP781" s="9"/>
    </row>
    <row r="782" ht="15.75" customHeight="1"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C782" s="9"/>
      <c r="AE782" s="3"/>
      <c r="AF782" s="3"/>
      <c r="AG782" s="3"/>
      <c r="AH782" s="3"/>
      <c r="AI782" s="3"/>
      <c r="AP782" s="9"/>
    </row>
    <row r="783" ht="15.75" customHeight="1"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C783" s="9"/>
      <c r="AE783" s="3"/>
      <c r="AF783" s="3"/>
      <c r="AG783" s="3"/>
      <c r="AH783" s="3"/>
      <c r="AI783" s="3"/>
      <c r="AP783" s="9"/>
    </row>
    <row r="784" ht="15.75" customHeight="1"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C784" s="9"/>
      <c r="AE784" s="3"/>
      <c r="AF784" s="3"/>
      <c r="AG784" s="3"/>
      <c r="AH784" s="3"/>
      <c r="AI784" s="3"/>
      <c r="AP784" s="9"/>
    </row>
    <row r="785" ht="15.75" customHeight="1"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C785" s="9"/>
      <c r="AE785" s="3"/>
      <c r="AF785" s="3"/>
      <c r="AG785" s="3"/>
      <c r="AH785" s="3"/>
      <c r="AI785" s="3"/>
      <c r="AP785" s="9"/>
    </row>
    <row r="786" ht="15.75" customHeight="1"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C786" s="9"/>
      <c r="AE786" s="3"/>
      <c r="AF786" s="3"/>
      <c r="AG786" s="3"/>
      <c r="AH786" s="3"/>
      <c r="AI786" s="3"/>
      <c r="AP786" s="9"/>
    </row>
    <row r="787" ht="15.75" customHeight="1"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C787" s="9"/>
      <c r="AE787" s="3"/>
      <c r="AF787" s="3"/>
      <c r="AG787" s="3"/>
      <c r="AH787" s="3"/>
      <c r="AI787" s="3"/>
      <c r="AP787" s="9"/>
    </row>
    <row r="788" ht="15.75" customHeight="1"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C788" s="9"/>
      <c r="AE788" s="3"/>
      <c r="AF788" s="3"/>
      <c r="AG788" s="3"/>
      <c r="AH788" s="3"/>
      <c r="AI788" s="3"/>
      <c r="AP788" s="9"/>
    </row>
    <row r="789" ht="15.75" customHeight="1"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C789" s="9"/>
      <c r="AE789" s="3"/>
      <c r="AF789" s="3"/>
      <c r="AG789" s="3"/>
      <c r="AH789" s="3"/>
      <c r="AI789" s="3"/>
      <c r="AP789" s="9"/>
    </row>
    <row r="790" ht="15.75" customHeight="1"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C790" s="9"/>
      <c r="AE790" s="3"/>
      <c r="AF790" s="3"/>
      <c r="AG790" s="3"/>
      <c r="AH790" s="3"/>
      <c r="AI790" s="3"/>
      <c r="AP790" s="9"/>
    </row>
    <row r="791" ht="15.75" customHeight="1"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C791" s="9"/>
      <c r="AE791" s="3"/>
      <c r="AF791" s="3"/>
      <c r="AG791" s="3"/>
      <c r="AH791" s="3"/>
      <c r="AI791" s="3"/>
      <c r="AP791" s="9"/>
    </row>
    <row r="792" ht="15.75" customHeight="1"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C792" s="9"/>
      <c r="AE792" s="3"/>
      <c r="AF792" s="3"/>
      <c r="AG792" s="3"/>
      <c r="AH792" s="3"/>
      <c r="AI792" s="3"/>
      <c r="AP792" s="9"/>
    </row>
    <row r="793" ht="15.75" customHeight="1"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C793" s="9"/>
      <c r="AE793" s="3"/>
      <c r="AF793" s="3"/>
      <c r="AG793" s="3"/>
      <c r="AH793" s="3"/>
      <c r="AI793" s="3"/>
      <c r="AP793" s="9"/>
    </row>
    <row r="794" ht="15.75" customHeight="1"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C794" s="9"/>
      <c r="AE794" s="3"/>
      <c r="AF794" s="3"/>
      <c r="AG794" s="3"/>
      <c r="AH794" s="3"/>
      <c r="AI794" s="3"/>
      <c r="AP794" s="9"/>
    </row>
    <row r="795" ht="15.75" customHeight="1"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C795" s="9"/>
      <c r="AE795" s="3"/>
      <c r="AF795" s="3"/>
      <c r="AG795" s="3"/>
      <c r="AH795" s="3"/>
      <c r="AI795" s="3"/>
      <c r="AP795" s="9"/>
    </row>
    <row r="796" ht="15.75" customHeight="1"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C796" s="9"/>
      <c r="AE796" s="3"/>
      <c r="AF796" s="3"/>
      <c r="AG796" s="3"/>
      <c r="AH796" s="3"/>
      <c r="AI796" s="3"/>
      <c r="AP796" s="9"/>
    </row>
    <row r="797" ht="15.75" customHeight="1"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C797" s="9"/>
      <c r="AE797" s="3"/>
      <c r="AF797" s="3"/>
      <c r="AG797" s="3"/>
      <c r="AH797" s="3"/>
      <c r="AI797" s="3"/>
      <c r="AP797" s="9"/>
    </row>
    <row r="798" ht="15.75" customHeight="1"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C798" s="9"/>
      <c r="AE798" s="3"/>
      <c r="AF798" s="3"/>
      <c r="AG798" s="3"/>
      <c r="AH798" s="3"/>
      <c r="AI798" s="3"/>
      <c r="AP798" s="9"/>
    </row>
    <row r="799" ht="15.75" customHeight="1"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C799" s="9"/>
      <c r="AE799" s="3"/>
      <c r="AF799" s="3"/>
      <c r="AG799" s="3"/>
      <c r="AH799" s="3"/>
      <c r="AI799" s="3"/>
      <c r="AP799" s="9"/>
    </row>
    <row r="800" ht="15.75" customHeight="1"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C800" s="9"/>
      <c r="AE800" s="3"/>
      <c r="AF800" s="3"/>
      <c r="AG800" s="3"/>
      <c r="AH800" s="3"/>
      <c r="AI800" s="3"/>
      <c r="AP800" s="9"/>
    </row>
    <row r="801" ht="15.75" customHeight="1"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C801" s="9"/>
      <c r="AE801" s="3"/>
      <c r="AF801" s="3"/>
      <c r="AG801" s="3"/>
      <c r="AH801" s="3"/>
      <c r="AI801" s="3"/>
      <c r="AP801" s="9"/>
    </row>
    <row r="802" ht="15.75" customHeight="1"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C802" s="9"/>
      <c r="AE802" s="3"/>
      <c r="AF802" s="3"/>
      <c r="AG802" s="3"/>
      <c r="AH802" s="3"/>
      <c r="AI802" s="3"/>
      <c r="AP802" s="9"/>
    </row>
    <row r="803" ht="15.75" customHeight="1"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C803" s="9"/>
      <c r="AE803" s="3"/>
      <c r="AF803" s="3"/>
      <c r="AG803" s="3"/>
      <c r="AH803" s="3"/>
      <c r="AI803" s="3"/>
      <c r="AP803" s="9"/>
    </row>
    <row r="804" ht="15.75" customHeight="1"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C804" s="9"/>
      <c r="AE804" s="3"/>
      <c r="AF804" s="3"/>
      <c r="AG804" s="3"/>
      <c r="AH804" s="3"/>
      <c r="AI804" s="3"/>
      <c r="AP804" s="9"/>
    </row>
    <row r="805" ht="15.75" customHeight="1"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C805" s="9"/>
      <c r="AE805" s="3"/>
      <c r="AF805" s="3"/>
      <c r="AG805" s="3"/>
      <c r="AH805" s="3"/>
      <c r="AI805" s="3"/>
      <c r="AP805" s="9"/>
    </row>
    <row r="806" ht="15.75" customHeight="1"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C806" s="9"/>
      <c r="AE806" s="3"/>
      <c r="AF806" s="3"/>
      <c r="AG806" s="3"/>
      <c r="AH806" s="3"/>
      <c r="AI806" s="3"/>
      <c r="AP806" s="9"/>
    </row>
    <row r="807" ht="15.75" customHeight="1"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C807" s="9"/>
      <c r="AE807" s="3"/>
      <c r="AF807" s="3"/>
      <c r="AG807" s="3"/>
      <c r="AH807" s="3"/>
      <c r="AI807" s="3"/>
      <c r="AP807" s="9"/>
    </row>
    <row r="808" ht="15.75" customHeight="1"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C808" s="9"/>
      <c r="AE808" s="3"/>
      <c r="AF808" s="3"/>
      <c r="AG808" s="3"/>
      <c r="AH808" s="3"/>
      <c r="AI808" s="3"/>
      <c r="AP808" s="9"/>
    </row>
    <row r="809" ht="15.75" customHeight="1"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C809" s="9"/>
      <c r="AE809" s="3"/>
      <c r="AF809" s="3"/>
      <c r="AG809" s="3"/>
      <c r="AH809" s="3"/>
      <c r="AI809" s="3"/>
      <c r="AP809" s="9"/>
    </row>
    <row r="810" ht="15.75" customHeight="1"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C810" s="9"/>
      <c r="AE810" s="3"/>
      <c r="AF810" s="3"/>
      <c r="AG810" s="3"/>
      <c r="AH810" s="3"/>
      <c r="AI810" s="3"/>
      <c r="AP810" s="9"/>
    </row>
    <row r="811" ht="15.75" customHeight="1"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C811" s="9"/>
      <c r="AE811" s="3"/>
      <c r="AF811" s="3"/>
      <c r="AG811" s="3"/>
      <c r="AH811" s="3"/>
      <c r="AI811" s="3"/>
      <c r="AP811" s="9"/>
    </row>
    <row r="812" ht="15.75" customHeight="1"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C812" s="9"/>
      <c r="AE812" s="3"/>
      <c r="AF812" s="3"/>
      <c r="AG812" s="3"/>
      <c r="AH812" s="3"/>
      <c r="AI812" s="3"/>
      <c r="AP812" s="9"/>
    </row>
    <row r="813" ht="15.75" customHeight="1"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C813" s="9"/>
      <c r="AE813" s="3"/>
      <c r="AF813" s="3"/>
      <c r="AG813" s="3"/>
      <c r="AH813" s="3"/>
      <c r="AI813" s="3"/>
      <c r="AP813" s="9"/>
    </row>
    <row r="814" ht="15.75" customHeight="1"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C814" s="9"/>
      <c r="AE814" s="3"/>
      <c r="AF814" s="3"/>
      <c r="AG814" s="3"/>
      <c r="AH814" s="3"/>
      <c r="AI814" s="3"/>
      <c r="AP814" s="9"/>
    </row>
    <row r="815" ht="15.75" customHeight="1"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C815" s="9"/>
      <c r="AE815" s="3"/>
      <c r="AF815" s="3"/>
      <c r="AG815" s="3"/>
      <c r="AH815" s="3"/>
      <c r="AI815" s="3"/>
      <c r="AP815" s="9"/>
    </row>
    <row r="816" ht="15.75" customHeight="1"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C816" s="9"/>
      <c r="AE816" s="3"/>
      <c r="AF816" s="3"/>
      <c r="AG816" s="3"/>
      <c r="AH816" s="3"/>
      <c r="AI816" s="3"/>
      <c r="AP816" s="9"/>
    </row>
    <row r="817" ht="15.75" customHeight="1"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C817" s="9"/>
      <c r="AE817" s="3"/>
      <c r="AF817" s="3"/>
      <c r="AG817" s="3"/>
      <c r="AH817" s="3"/>
      <c r="AI817" s="3"/>
      <c r="AP817" s="9"/>
    </row>
    <row r="818" ht="15.75" customHeight="1"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C818" s="9"/>
      <c r="AE818" s="3"/>
      <c r="AF818" s="3"/>
      <c r="AG818" s="3"/>
      <c r="AH818" s="3"/>
      <c r="AI818" s="3"/>
      <c r="AP818" s="9"/>
    </row>
    <row r="819" ht="15.75" customHeight="1"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C819" s="9"/>
      <c r="AE819" s="3"/>
      <c r="AF819" s="3"/>
      <c r="AG819" s="3"/>
      <c r="AH819" s="3"/>
      <c r="AI819" s="3"/>
      <c r="AP819" s="9"/>
    </row>
    <row r="820" ht="15.75" customHeight="1"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C820" s="9"/>
      <c r="AE820" s="3"/>
      <c r="AF820" s="3"/>
      <c r="AG820" s="3"/>
      <c r="AH820" s="3"/>
      <c r="AI820" s="3"/>
      <c r="AP820" s="9"/>
    </row>
    <row r="821" ht="15.75" customHeight="1"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C821" s="9"/>
      <c r="AE821" s="3"/>
      <c r="AF821" s="3"/>
      <c r="AG821" s="3"/>
      <c r="AH821" s="3"/>
      <c r="AI821" s="3"/>
      <c r="AP821" s="9"/>
    </row>
    <row r="822" ht="15.75" customHeight="1"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C822" s="9"/>
      <c r="AE822" s="3"/>
      <c r="AF822" s="3"/>
      <c r="AG822" s="3"/>
      <c r="AH822" s="3"/>
      <c r="AI822" s="3"/>
      <c r="AP822" s="9"/>
    </row>
    <row r="823" ht="15.75" customHeight="1"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C823" s="9"/>
      <c r="AE823" s="3"/>
      <c r="AF823" s="3"/>
      <c r="AG823" s="3"/>
      <c r="AH823" s="3"/>
      <c r="AI823" s="3"/>
      <c r="AP823" s="9"/>
    </row>
    <row r="824" ht="15.75" customHeight="1"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C824" s="9"/>
      <c r="AE824" s="3"/>
      <c r="AF824" s="3"/>
      <c r="AG824" s="3"/>
      <c r="AH824" s="3"/>
      <c r="AI824" s="3"/>
      <c r="AP824" s="9"/>
    </row>
    <row r="825" ht="15.75" customHeight="1"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C825" s="9"/>
      <c r="AE825" s="3"/>
      <c r="AF825" s="3"/>
      <c r="AG825" s="3"/>
      <c r="AH825" s="3"/>
      <c r="AI825" s="3"/>
      <c r="AP825" s="9"/>
    </row>
    <row r="826" ht="15.75" customHeight="1"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C826" s="9"/>
      <c r="AE826" s="3"/>
      <c r="AF826" s="3"/>
      <c r="AG826" s="3"/>
      <c r="AH826" s="3"/>
      <c r="AI826" s="3"/>
      <c r="AP826" s="9"/>
    </row>
    <row r="827" ht="15.75" customHeight="1"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C827" s="9"/>
      <c r="AE827" s="3"/>
      <c r="AF827" s="3"/>
      <c r="AG827" s="3"/>
      <c r="AH827" s="3"/>
      <c r="AI827" s="3"/>
      <c r="AP827" s="9"/>
    </row>
    <row r="828" ht="15.75" customHeight="1"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C828" s="9"/>
      <c r="AE828" s="3"/>
      <c r="AF828" s="3"/>
      <c r="AG828" s="3"/>
      <c r="AH828" s="3"/>
      <c r="AI828" s="3"/>
      <c r="AP828" s="9"/>
    </row>
    <row r="829" ht="15.75" customHeight="1"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C829" s="9"/>
      <c r="AE829" s="3"/>
      <c r="AF829" s="3"/>
      <c r="AG829" s="3"/>
      <c r="AH829" s="3"/>
      <c r="AI829" s="3"/>
      <c r="AP829" s="9"/>
    </row>
    <row r="830" ht="15.75" customHeight="1"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C830" s="9"/>
      <c r="AE830" s="3"/>
      <c r="AF830" s="3"/>
      <c r="AG830" s="3"/>
      <c r="AH830" s="3"/>
      <c r="AI830" s="3"/>
      <c r="AP830" s="9"/>
    </row>
    <row r="831" ht="15.75" customHeight="1"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C831" s="9"/>
      <c r="AE831" s="3"/>
      <c r="AF831" s="3"/>
      <c r="AG831" s="3"/>
      <c r="AH831" s="3"/>
      <c r="AI831" s="3"/>
      <c r="AP831" s="9"/>
    </row>
    <row r="832" ht="15.75" customHeight="1"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C832" s="9"/>
      <c r="AE832" s="3"/>
      <c r="AF832" s="3"/>
      <c r="AG832" s="3"/>
      <c r="AH832" s="3"/>
      <c r="AI832" s="3"/>
      <c r="AP832" s="9"/>
    </row>
    <row r="833" ht="15.75" customHeight="1"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C833" s="9"/>
      <c r="AE833" s="3"/>
      <c r="AF833" s="3"/>
      <c r="AG833" s="3"/>
      <c r="AH833" s="3"/>
      <c r="AI833" s="3"/>
      <c r="AP833" s="9"/>
    </row>
    <row r="834" ht="15.75" customHeight="1"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C834" s="9"/>
      <c r="AE834" s="3"/>
      <c r="AF834" s="3"/>
      <c r="AG834" s="3"/>
      <c r="AH834" s="3"/>
      <c r="AI834" s="3"/>
      <c r="AP834" s="9"/>
    </row>
    <row r="835" ht="15.75" customHeight="1"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C835" s="9"/>
      <c r="AE835" s="3"/>
      <c r="AF835" s="3"/>
      <c r="AG835" s="3"/>
      <c r="AH835" s="3"/>
      <c r="AI835" s="3"/>
      <c r="AP835" s="9"/>
    </row>
    <row r="836" ht="15.75" customHeight="1"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C836" s="9"/>
      <c r="AE836" s="3"/>
      <c r="AF836" s="3"/>
      <c r="AG836" s="3"/>
      <c r="AH836" s="3"/>
      <c r="AI836" s="3"/>
      <c r="AP836" s="9"/>
    </row>
    <row r="837" ht="15.75" customHeight="1"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C837" s="9"/>
      <c r="AE837" s="3"/>
      <c r="AF837" s="3"/>
      <c r="AG837" s="3"/>
      <c r="AH837" s="3"/>
      <c r="AI837" s="3"/>
      <c r="AP837" s="9"/>
    </row>
    <row r="838" ht="15.75" customHeight="1"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C838" s="9"/>
      <c r="AE838" s="3"/>
      <c r="AF838" s="3"/>
      <c r="AG838" s="3"/>
      <c r="AH838" s="3"/>
      <c r="AI838" s="3"/>
      <c r="AP838" s="9"/>
    </row>
    <row r="839" ht="15.75" customHeight="1"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C839" s="9"/>
      <c r="AE839" s="3"/>
      <c r="AF839" s="3"/>
      <c r="AG839" s="3"/>
      <c r="AH839" s="3"/>
      <c r="AI839" s="3"/>
      <c r="AP839" s="9"/>
    </row>
    <row r="840" ht="15.75" customHeight="1"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C840" s="9"/>
      <c r="AE840" s="3"/>
      <c r="AF840" s="3"/>
      <c r="AG840" s="3"/>
      <c r="AH840" s="3"/>
      <c r="AI840" s="3"/>
      <c r="AP840" s="9"/>
    </row>
    <row r="841" ht="15.75" customHeight="1"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C841" s="9"/>
      <c r="AE841" s="3"/>
      <c r="AF841" s="3"/>
      <c r="AG841" s="3"/>
      <c r="AH841" s="3"/>
      <c r="AI841" s="3"/>
      <c r="AP841" s="9"/>
    </row>
    <row r="842" ht="15.75" customHeight="1"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C842" s="9"/>
      <c r="AE842" s="3"/>
      <c r="AF842" s="3"/>
      <c r="AG842" s="3"/>
      <c r="AH842" s="3"/>
      <c r="AI842" s="3"/>
      <c r="AP842" s="9"/>
    </row>
    <row r="843" ht="15.75" customHeight="1"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C843" s="9"/>
      <c r="AE843" s="3"/>
      <c r="AF843" s="3"/>
      <c r="AG843" s="3"/>
      <c r="AH843" s="3"/>
      <c r="AI843" s="3"/>
      <c r="AP843" s="9"/>
    </row>
    <row r="844" ht="15.75" customHeight="1"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C844" s="9"/>
      <c r="AE844" s="3"/>
      <c r="AF844" s="3"/>
      <c r="AG844" s="3"/>
      <c r="AH844" s="3"/>
      <c r="AI844" s="3"/>
      <c r="AP844" s="9"/>
    </row>
    <row r="845" ht="15.75" customHeight="1"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C845" s="9"/>
      <c r="AE845" s="3"/>
      <c r="AF845" s="3"/>
      <c r="AG845" s="3"/>
      <c r="AH845" s="3"/>
      <c r="AI845" s="3"/>
      <c r="AP845" s="9"/>
    </row>
    <row r="846" ht="15.75" customHeight="1"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C846" s="9"/>
      <c r="AE846" s="3"/>
      <c r="AF846" s="3"/>
      <c r="AG846" s="3"/>
      <c r="AH846" s="3"/>
      <c r="AI846" s="3"/>
      <c r="AP846" s="9"/>
    </row>
    <row r="847" ht="15.75" customHeight="1"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C847" s="9"/>
      <c r="AE847" s="3"/>
      <c r="AF847" s="3"/>
      <c r="AG847" s="3"/>
      <c r="AH847" s="3"/>
      <c r="AI847" s="3"/>
      <c r="AP847" s="9"/>
    </row>
    <row r="848" ht="15.75" customHeight="1"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C848" s="9"/>
      <c r="AE848" s="3"/>
      <c r="AF848" s="3"/>
      <c r="AG848" s="3"/>
      <c r="AH848" s="3"/>
      <c r="AI848" s="3"/>
      <c r="AP848" s="9"/>
    </row>
    <row r="849" ht="15.75" customHeight="1"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C849" s="9"/>
      <c r="AE849" s="3"/>
      <c r="AF849" s="3"/>
      <c r="AG849" s="3"/>
      <c r="AH849" s="3"/>
      <c r="AI849" s="3"/>
      <c r="AP849" s="9"/>
    </row>
    <row r="850" ht="15.75" customHeight="1"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C850" s="9"/>
      <c r="AE850" s="3"/>
      <c r="AF850" s="3"/>
      <c r="AG850" s="3"/>
      <c r="AH850" s="3"/>
      <c r="AI850" s="3"/>
      <c r="AP850" s="9"/>
    </row>
    <row r="851" ht="15.75" customHeight="1"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C851" s="9"/>
      <c r="AE851" s="3"/>
      <c r="AF851" s="3"/>
      <c r="AG851" s="3"/>
      <c r="AH851" s="3"/>
      <c r="AI851" s="3"/>
      <c r="AP851" s="9"/>
    </row>
    <row r="852" ht="15.75" customHeight="1"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C852" s="9"/>
      <c r="AE852" s="3"/>
      <c r="AF852" s="3"/>
      <c r="AG852" s="3"/>
      <c r="AH852" s="3"/>
      <c r="AI852" s="3"/>
      <c r="AP852" s="9"/>
    </row>
    <row r="853" ht="15.75" customHeight="1"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C853" s="9"/>
      <c r="AE853" s="3"/>
      <c r="AF853" s="3"/>
      <c r="AG853" s="3"/>
      <c r="AH853" s="3"/>
      <c r="AI853" s="3"/>
      <c r="AP853" s="9"/>
    </row>
    <row r="854" ht="15.75" customHeight="1"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C854" s="9"/>
      <c r="AE854" s="3"/>
      <c r="AF854" s="3"/>
      <c r="AG854" s="3"/>
      <c r="AH854" s="3"/>
      <c r="AI854" s="3"/>
      <c r="AP854" s="9"/>
    </row>
    <row r="855" ht="15.75" customHeight="1"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C855" s="9"/>
      <c r="AE855" s="3"/>
      <c r="AF855" s="3"/>
      <c r="AG855" s="3"/>
      <c r="AH855" s="3"/>
      <c r="AI855" s="3"/>
      <c r="AP855" s="9"/>
    </row>
    <row r="856" ht="15.75" customHeight="1"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C856" s="9"/>
      <c r="AE856" s="3"/>
      <c r="AF856" s="3"/>
      <c r="AG856" s="3"/>
      <c r="AH856" s="3"/>
      <c r="AI856" s="3"/>
      <c r="AP856" s="9"/>
    </row>
    <row r="857" ht="15.75" customHeight="1"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C857" s="9"/>
      <c r="AE857" s="3"/>
      <c r="AF857" s="3"/>
      <c r="AG857" s="3"/>
      <c r="AH857" s="3"/>
      <c r="AI857" s="3"/>
      <c r="AP857" s="9"/>
    </row>
    <row r="858" ht="15.75" customHeight="1"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C858" s="9"/>
      <c r="AE858" s="3"/>
      <c r="AF858" s="3"/>
      <c r="AG858" s="3"/>
      <c r="AH858" s="3"/>
      <c r="AI858" s="3"/>
      <c r="AP858" s="9"/>
    </row>
    <row r="859" ht="15.75" customHeight="1"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C859" s="9"/>
      <c r="AE859" s="3"/>
      <c r="AF859" s="3"/>
      <c r="AG859" s="3"/>
      <c r="AH859" s="3"/>
      <c r="AI859" s="3"/>
      <c r="AP859" s="9"/>
    </row>
    <row r="860" ht="15.75" customHeight="1"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C860" s="9"/>
      <c r="AE860" s="3"/>
      <c r="AF860" s="3"/>
      <c r="AG860" s="3"/>
      <c r="AH860" s="3"/>
      <c r="AI860" s="3"/>
      <c r="AP860" s="9"/>
    </row>
    <row r="861" ht="15.75" customHeight="1"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C861" s="9"/>
      <c r="AE861" s="3"/>
      <c r="AF861" s="3"/>
      <c r="AG861" s="3"/>
      <c r="AH861" s="3"/>
      <c r="AI861" s="3"/>
      <c r="AP861" s="9"/>
    </row>
    <row r="862" ht="15.75" customHeight="1"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C862" s="9"/>
      <c r="AE862" s="3"/>
      <c r="AF862" s="3"/>
      <c r="AG862" s="3"/>
      <c r="AH862" s="3"/>
      <c r="AI862" s="3"/>
      <c r="AP862" s="9"/>
    </row>
    <row r="863" ht="15.75" customHeight="1"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C863" s="9"/>
      <c r="AE863" s="3"/>
      <c r="AF863" s="3"/>
      <c r="AG863" s="3"/>
      <c r="AH863" s="3"/>
      <c r="AI863" s="3"/>
      <c r="AP863" s="9"/>
    </row>
    <row r="864" ht="15.75" customHeight="1"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C864" s="9"/>
      <c r="AE864" s="3"/>
      <c r="AF864" s="3"/>
      <c r="AG864" s="3"/>
      <c r="AH864" s="3"/>
      <c r="AI864" s="3"/>
      <c r="AP864" s="9"/>
    </row>
    <row r="865" ht="15.75" customHeight="1"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C865" s="9"/>
      <c r="AE865" s="3"/>
      <c r="AF865" s="3"/>
      <c r="AG865" s="3"/>
      <c r="AH865" s="3"/>
      <c r="AI865" s="3"/>
      <c r="AP865" s="9"/>
    </row>
    <row r="866" ht="15.75" customHeight="1"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C866" s="9"/>
      <c r="AE866" s="3"/>
      <c r="AF866" s="3"/>
      <c r="AG866" s="3"/>
      <c r="AH866" s="3"/>
      <c r="AI866" s="3"/>
      <c r="AP866" s="9"/>
    </row>
    <row r="867" ht="15.75" customHeight="1"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C867" s="9"/>
      <c r="AE867" s="3"/>
      <c r="AF867" s="3"/>
      <c r="AG867" s="3"/>
      <c r="AH867" s="3"/>
      <c r="AI867" s="3"/>
      <c r="AP867" s="9"/>
    </row>
    <row r="868" ht="15.75" customHeight="1"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C868" s="9"/>
      <c r="AE868" s="3"/>
      <c r="AF868" s="3"/>
      <c r="AG868" s="3"/>
      <c r="AH868" s="3"/>
      <c r="AI868" s="3"/>
      <c r="AP868" s="9"/>
    </row>
    <row r="869" ht="15.75" customHeight="1"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C869" s="9"/>
      <c r="AE869" s="3"/>
      <c r="AF869" s="3"/>
      <c r="AG869" s="3"/>
      <c r="AH869" s="3"/>
      <c r="AI869" s="3"/>
      <c r="AP869" s="9"/>
    </row>
    <row r="870" ht="15.75" customHeight="1"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C870" s="9"/>
      <c r="AE870" s="3"/>
      <c r="AF870" s="3"/>
      <c r="AG870" s="3"/>
      <c r="AH870" s="3"/>
      <c r="AI870" s="3"/>
      <c r="AP870" s="9"/>
    </row>
    <row r="871" ht="15.75" customHeight="1"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C871" s="9"/>
      <c r="AE871" s="3"/>
      <c r="AF871" s="3"/>
      <c r="AG871" s="3"/>
      <c r="AH871" s="3"/>
      <c r="AI871" s="3"/>
      <c r="AP871" s="9"/>
    </row>
    <row r="872" ht="15.75" customHeight="1"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C872" s="9"/>
      <c r="AE872" s="3"/>
      <c r="AF872" s="3"/>
      <c r="AG872" s="3"/>
      <c r="AH872" s="3"/>
      <c r="AI872" s="3"/>
      <c r="AP872" s="9"/>
    </row>
    <row r="873" ht="15.75" customHeight="1"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C873" s="9"/>
      <c r="AE873" s="3"/>
      <c r="AF873" s="3"/>
      <c r="AG873" s="3"/>
      <c r="AH873" s="3"/>
      <c r="AI873" s="3"/>
      <c r="AP873" s="9"/>
    </row>
    <row r="874" ht="15.75" customHeight="1"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C874" s="9"/>
      <c r="AE874" s="3"/>
      <c r="AF874" s="3"/>
      <c r="AG874" s="3"/>
      <c r="AH874" s="3"/>
      <c r="AI874" s="3"/>
      <c r="AP874" s="9"/>
    </row>
    <row r="875" ht="15.75" customHeight="1"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C875" s="9"/>
      <c r="AE875" s="3"/>
      <c r="AF875" s="3"/>
      <c r="AG875" s="3"/>
      <c r="AH875" s="3"/>
      <c r="AI875" s="3"/>
      <c r="AP875" s="9"/>
    </row>
    <row r="876" ht="15.75" customHeight="1"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C876" s="9"/>
      <c r="AE876" s="3"/>
      <c r="AF876" s="3"/>
      <c r="AG876" s="3"/>
      <c r="AH876" s="3"/>
      <c r="AI876" s="3"/>
      <c r="AP876" s="9"/>
    </row>
    <row r="877" ht="15.75" customHeight="1"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C877" s="9"/>
      <c r="AE877" s="3"/>
      <c r="AF877" s="3"/>
      <c r="AG877" s="3"/>
      <c r="AH877" s="3"/>
      <c r="AI877" s="3"/>
      <c r="AP877" s="9"/>
    </row>
    <row r="878" ht="15.75" customHeight="1"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C878" s="9"/>
      <c r="AE878" s="3"/>
      <c r="AF878" s="3"/>
      <c r="AG878" s="3"/>
      <c r="AH878" s="3"/>
      <c r="AI878" s="3"/>
      <c r="AP878" s="9"/>
    </row>
    <row r="879" ht="15.75" customHeight="1"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C879" s="9"/>
      <c r="AE879" s="3"/>
      <c r="AF879" s="3"/>
      <c r="AG879" s="3"/>
      <c r="AH879" s="3"/>
      <c r="AI879" s="3"/>
      <c r="AP879" s="9"/>
    </row>
    <row r="880" ht="15.75" customHeight="1"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C880" s="9"/>
      <c r="AE880" s="3"/>
      <c r="AF880" s="3"/>
      <c r="AG880" s="3"/>
      <c r="AH880" s="3"/>
      <c r="AI880" s="3"/>
      <c r="AP880" s="9"/>
    </row>
    <row r="881" ht="15.75" customHeight="1"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C881" s="9"/>
      <c r="AE881" s="3"/>
      <c r="AF881" s="3"/>
      <c r="AG881" s="3"/>
      <c r="AH881" s="3"/>
      <c r="AI881" s="3"/>
      <c r="AP881" s="9"/>
    </row>
    <row r="882" ht="15.75" customHeight="1"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C882" s="9"/>
      <c r="AE882" s="3"/>
      <c r="AF882" s="3"/>
      <c r="AG882" s="3"/>
      <c r="AH882" s="3"/>
      <c r="AI882" s="3"/>
      <c r="AP882" s="9"/>
    </row>
    <row r="883" ht="15.75" customHeight="1"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C883" s="9"/>
      <c r="AE883" s="3"/>
      <c r="AF883" s="3"/>
      <c r="AG883" s="3"/>
      <c r="AH883" s="3"/>
      <c r="AI883" s="3"/>
      <c r="AP883" s="9"/>
    </row>
    <row r="884" ht="15.75" customHeight="1"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C884" s="9"/>
      <c r="AE884" s="3"/>
      <c r="AF884" s="3"/>
      <c r="AG884" s="3"/>
      <c r="AH884" s="3"/>
      <c r="AI884" s="3"/>
      <c r="AP884" s="9"/>
    </row>
    <row r="885" ht="15.75" customHeight="1"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C885" s="9"/>
      <c r="AE885" s="3"/>
      <c r="AF885" s="3"/>
      <c r="AG885" s="3"/>
      <c r="AH885" s="3"/>
      <c r="AI885" s="3"/>
      <c r="AP885" s="9"/>
    </row>
    <row r="886" ht="15.75" customHeight="1"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C886" s="9"/>
      <c r="AE886" s="3"/>
      <c r="AF886" s="3"/>
      <c r="AG886" s="3"/>
      <c r="AH886" s="3"/>
      <c r="AI886" s="3"/>
      <c r="AP886" s="9"/>
    </row>
    <row r="887" ht="15.75" customHeight="1"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C887" s="9"/>
      <c r="AE887" s="3"/>
      <c r="AF887" s="3"/>
      <c r="AG887" s="3"/>
      <c r="AH887" s="3"/>
      <c r="AI887" s="3"/>
      <c r="AP887" s="9"/>
    </row>
    <row r="888" ht="15.75" customHeight="1"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C888" s="9"/>
      <c r="AE888" s="3"/>
      <c r="AF888" s="3"/>
      <c r="AG888" s="3"/>
      <c r="AH888" s="3"/>
      <c r="AI888" s="3"/>
      <c r="AP888" s="9"/>
    </row>
    <row r="889" ht="15.75" customHeight="1"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C889" s="9"/>
      <c r="AE889" s="3"/>
      <c r="AF889" s="3"/>
      <c r="AG889" s="3"/>
      <c r="AH889" s="3"/>
      <c r="AI889" s="3"/>
      <c r="AP889" s="9"/>
    </row>
    <row r="890" ht="15.75" customHeight="1"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C890" s="9"/>
      <c r="AE890" s="3"/>
      <c r="AF890" s="3"/>
      <c r="AG890" s="3"/>
      <c r="AH890" s="3"/>
      <c r="AI890" s="3"/>
      <c r="AP890" s="9"/>
    </row>
    <row r="891" ht="15.75" customHeight="1"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C891" s="9"/>
      <c r="AE891" s="3"/>
      <c r="AF891" s="3"/>
      <c r="AG891" s="3"/>
      <c r="AH891" s="3"/>
      <c r="AI891" s="3"/>
      <c r="AP891" s="9"/>
    </row>
    <row r="892" ht="15.75" customHeight="1"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C892" s="9"/>
      <c r="AE892" s="3"/>
      <c r="AF892" s="3"/>
      <c r="AG892" s="3"/>
      <c r="AH892" s="3"/>
      <c r="AI892" s="3"/>
      <c r="AP892" s="9"/>
    </row>
    <row r="893" ht="15.75" customHeight="1"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C893" s="9"/>
      <c r="AE893" s="3"/>
      <c r="AF893" s="3"/>
      <c r="AG893" s="3"/>
      <c r="AH893" s="3"/>
      <c r="AI893" s="3"/>
      <c r="AP893" s="9"/>
    </row>
    <row r="894" ht="15.75" customHeight="1"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C894" s="9"/>
      <c r="AE894" s="3"/>
      <c r="AF894" s="3"/>
      <c r="AG894" s="3"/>
      <c r="AH894" s="3"/>
      <c r="AI894" s="3"/>
      <c r="AP894" s="9"/>
    </row>
    <row r="895" ht="15.75" customHeight="1"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C895" s="9"/>
      <c r="AE895" s="3"/>
      <c r="AF895" s="3"/>
      <c r="AG895" s="3"/>
      <c r="AH895" s="3"/>
      <c r="AI895" s="3"/>
      <c r="AP895" s="9"/>
    </row>
    <row r="896" ht="15.75" customHeight="1"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C896" s="9"/>
      <c r="AE896" s="3"/>
      <c r="AF896" s="3"/>
      <c r="AG896" s="3"/>
      <c r="AH896" s="3"/>
      <c r="AI896" s="3"/>
      <c r="AP896" s="9"/>
    </row>
    <row r="897" ht="15.75" customHeight="1"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C897" s="9"/>
      <c r="AE897" s="3"/>
      <c r="AF897" s="3"/>
      <c r="AG897" s="3"/>
      <c r="AH897" s="3"/>
      <c r="AI897" s="3"/>
      <c r="AP897" s="9"/>
    </row>
    <row r="898" ht="15.75" customHeight="1"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C898" s="9"/>
      <c r="AE898" s="3"/>
      <c r="AF898" s="3"/>
      <c r="AG898" s="3"/>
      <c r="AH898" s="3"/>
      <c r="AI898" s="3"/>
      <c r="AP898" s="9"/>
    </row>
    <row r="899" ht="15.75" customHeight="1"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C899" s="9"/>
      <c r="AE899" s="3"/>
      <c r="AF899" s="3"/>
      <c r="AG899" s="3"/>
      <c r="AH899" s="3"/>
      <c r="AI899" s="3"/>
      <c r="AP899" s="9"/>
    </row>
    <row r="900" ht="15.75" customHeight="1"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C900" s="9"/>
      <c r="AE900" s="3"/>
      <c r="AF900" s="3"/>
      <c r="AG900" s="3"/>
      <c r="AH900" s="3"/>
      <c r="AI900" s="3"/>
      <c r="AP900" s="9"/>
    </row>
    <row r="901" ht="15.75" customHeight="1"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C901" s="9"/>
      <c r="AE901" s="3"/>
      <c r="AF901" s="3"/>
      <c r="AG901" s="3"/>
      <c r="AH901" s="3"/>
      <c r="AI901" s="3"/>
      <c r="AP901" s="9"/>
    </row>
    <row r="902" ht="15.75" customHeight="1"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C902" s="9"/>
      <c r="AE902" s="3"/>
      <c r="AF902" s="3"/>
      <c r="AG902" s="3"/>
      <c r="AH902" s="3"/>
      <c r="AI902" s="3"/>
      <c r="AP902" s="9"/>
    </row>
    <row r="903" ht="15.75" customHeight="1"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C903" s="9"/>
      <c r="AE903" s="3"/>
      <c r="AF903" s="3"/>
      <c r="AG903" s="3"/>
      <c r="AH903" s="3"/>
      <c r="AI903" s="3"/>
      <c r="AP903" s="9"/>
    </row>
    <row r="904" ht="15.75" customHeight="1"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C904" s="9"/>
      <c r="AE904" s="3"/>
      <c r="AF904" s="3"/>
      <c r="AG904" s="3"/>
      <c r="AH904" s="3"/>
      <c r="AI904" s="3"/>
      <c r="AP904" s="9"/>
    </row>
    <row r="905" ht="15.75" customHeight="1"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C905" s="9"/>
      <c r="AE905" s="3"/>
      <c r="AF905" s="3"/>
      <c r="AG905" s="3"/>
      <c r="AH905" s="3"/>
      <c r="AI905" s="3"/>
      <c r="AP905" s="9"/>
    </row>
    <row r="906" ht="15.75" customHeight="1"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C906" s="9"/>
      <c r="AE906" s="3"/>
      <c r="AF906" s="3"/>
      <c r="AG906" s="3"/>
      <c r="AH906" s="3"/>
      <c r="AI906" s="3"/>
      <c r="AP906" s="9"/>
    </row>
    <row r="907" ht="15.75" customHeight="1"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C907" s="9"/>
      <c r="AE907" s="3"/>
      <c r="AF907" s="3"/>
      <c r="AG907" s="3"/>
      <c r="AH907" s="3"/>
      <c r="AI907" s="3"/>
      <c r="AP907" s="9"/>
    </row>
    <row r="908" ht="15.75" customHeight="1"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C908" s="9"/>
      <c r="AE908" s="3"/>
      <c r="AF908" s="3"/>
      <c r="AG908" s="3"/>
      <c r="AH908" s="3"/>
      <c r="AI908" s="3"/>
      <c r="AP908" s="9"/>
    </row>
    <row r="909" ht="15.75" customHeight="1"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C909" s="9"/>
      <c r="AE909" s="3"/>
      <c r="AF909" s="3"/>
      <c r="AG909" s="3"/>
      <c r="AH909" s="3"/>
      <c r="AI909" s="3"/>
      <c r="AP909" s="9"/>
    </row>
    <row r="910" ht="15.75" customHeight="1"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C910" s="9"/>
      <c r="AE910" s="3"/>
      <c r="AF910" s="3"/>
      <c r="AG910" s="3"/>
      <c r="AH910" s="3"/>
      <c r="AI910" s="3"/>
      <c r="AP910" s="9"/>
    </row>
    <row r="911" ht="15.75" customHeight="1"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C911" s="9"/>
      <c r="AE911" s="3"/>
      <c r="AF911" s="3"/>
      <c r="AG911" s="3"/>
      <c r="AH911" s="3"/>
      <c r="AI911" s="3"/>
      <c r="AP911" s="9"/>
    </row>
    <row r="912" ht="15.75" customHeight="1"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C912" s="9"/>
      <c r="AE912" s="3"/>
      <c r="AF912" s="3"/>
      <c r="AG912" s="3"/>
      <c r="AH912" s="3"/>
      <c r="AI912" s="3"/>
      <c r="AP912" s="9"/>
    </row>
    <row r="913" ht="15.75" customHeight="1"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C913" s="9"/>
      <c r="AE913" s="3"/>
      <c r="AF913" s="3"/>
      <c r="AG913" s="3"/>
      <c r="AH913" s="3"/>
      <c r="AI913" s="3"/>
      <c r="AP913" s="9"/>
    </row>
    <row r="914" ht="15.75" customHeight="1"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C914" s="9"/>
      <c r="AE914" s="3"/>
      <c r="AF914" s="3"/>
      <c r="AG914" s="3"/>
      <c r="AH914" s="3"/>
      <c r="AI914" s="3"/>
      <c r="AP914" s="9"/>
    </row>
    <row r="915" ht="15.75" customHeight="1"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C915" s="9"/>
      <c r="AE915" s="3"/>
      <c r="AF915" s="3"/>
      <c r="AG915" s="3"/>
      <c r="AH915" s="3"/>
      <c r="AI915" s="3"/>
      <c r="AP915" s="9"/>
    </row>
    <row r="916" ht="15.75" customHeight="1"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C916" s="9"/>
      <c r="AE916" s="3"/>
      <c r="AF916" s="3"/>
      <c r="AG916" s="3"/>
      <c r="AH916" s="3"/>
      <c r="AI916" s="3"/>
      <c r="AP916" s="9"/>
    </row>
    <row r="917" ht="15.75" customHeight="1"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C917" s="9"/>
      <c r="AE917" s="3"/>
      <c r="AF917" s="3"/>
      <c r="AG917" s="3"/>
      <c r="AH917" s="3"/>
      <c r="AI917" s="3"/>
      <c r="AP917" s="9"/>
    </row>
    <row r="918" ht="15.75" customHeight="1"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C918" s="9"/>
      <c r="AE918" s="3"/>
      <c r="AF918" s="3"/>
      <c r="AG918" s="3"/>
      <c r="AH918" s="3"/>
      <c r="AI918" s="3"/>
      <c r="AP918" s="9"/>
    </row>
    <row r="919" ht="15.75" customHeight="1"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C919" s="9"/>
      <c r="AE919" s="3"/>
      <c r="AF919" s="3"/>
      <c r="AG919" s="3"/>
      <c r="AH919" s="3"/>
      <c r="AI919" s="3"/>
      <c r="AP919" s="9"/>
    </row>
    <row r="920" ht="15.75" customHeight="1"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C920" s="9"/>
      <c r="AE920" s="3"/>
      <c r="AF920" s="3"/>
      <c r="AG920" s="3"/>
      <c r="AH920" s="3"/>
      <c r="AI920" s="3"/>
      <c r="AP920" s="9"/>
    </row>
    <row r="921" ht="15.75" customHeight="1"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C921" s="9"/>
      <c r="AE921" s="3"/>
      <c r="AF921" s="3"/>
      <c r="AG921" s="3"/>
      <c r="AH921" s="3"/>
      <c r="AI921" s="3"/>
      <c r="AP921" s="9"/>
    </row>
    <row r="922" ht="15.75" customHeight="1"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C922" s="9"/>
      <c r="AE922" s="3"/>
      <c r="AF922" s="3"/>
      <c r="AG922" s="3"/>
      <c r="AH922" s="3"/>
      <c r="AI922" s="3"/>
      <c r="AP922" s="9"/>
    </row>
    <row r="923" ht="15.75" customHeight="1"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C923" s="9"/>
      <c r="AE923" s="3"/>
      <c r="AF923" s="3"/>
      <c r="AG923" s="3"/>
      <c r="AH923" s="3"/>
      <c r="AI923" s="3"/>
      <c r="AP923" s="9"/>
    </row>
    <row r="924" ht="15.75" customHeight="1"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C924" s="9"/>
      <c r="AE924" s="3"/>
      <c r="AF924" s="3"/>
      <c r="AG924" s="3"/>
      <c r="AH924" s="3"/>
      <c r="AI924" s="3"/>
      <c r="AP924" s="9"/>
    </row>
    <row r="925" ht="15.75" customHeight="1"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C925" s="9"/>
      <c r="AE925" s="3"/>
      <c r="AF925" s="3"/>
      <c r="AG925" s="3"/>
      <c r="AH925" s="3"/>
      <c r="AI925" s="3"/>
      <c r="AP925" s="9"/>
    </row>
    <row r="926" ht="15.75" customHeight="1"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C926" s="9"/>
      <c r="AE926" s="3"/>
      <c r="AF926" s="3"/>
      <c r="AG926" s="3"/>
      <c r="AH926" s="3"/>
      <c r="AI926" s="3"/>
      <c r="AP926" s="9"/>
    </row>
    <row r="927" ht="15.75" customHeight="1"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C927" s="9"/>
      <c r="AE927" s="3"/>
      <c r="AF927" s="3"/>
      <c r="AG927" s="3"/>
      <c r="AH927" s="3"/>
      <c r="AI927" s="3"/>
      <c r="AP927" s="9"/>
    </row>
    <row r="928" ht="15.75" customHeight="1"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C928" s="9"/>
      <c r="AE928" s="3"/>
      <c r="AF928" s="3"/>
      <c r="AG928" s="3"/>
      <c r="AH928" s="3"/>
      <c r="AI928" s="3"/>
      <c r="AP928" s="9"/>
    </row>
    <row r="929" ht="15.75" customHeight="1"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C929" s="9"/>
      <c r="AE929" s="3"/>
      <c r="AF929" s="3"/>
      <c r="AG929" s="3"/>
      <c r="AH929" s="3"/>
      <c r="AI929" s="3"/>
      <c r="AP929" s="9"/>
    </row>
    <row r="930" ht="15.75" customHeight="1"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C930" s="9"/>
      <c r="AE930" s="3"/>
      <c r="AF930" s="3"/>
      <c r="AG930" s="3"/>
      <c r="AH930" s="3"/>
      <c r="AI930" s="3"/>
      <c r="AP930" s="9"/>
    </row>
    <row r="931" ht="15.75" customHeight="1"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C931" s="9"/>
      <c r="AE931" s="3"/>
      <c r="AF931" s="3"/>
      <c r="AG931" s="3"/>
      <c r="AH931" s="3"/>
      <c r="AI931" s="3"/>
      <c r="AP931" s="9"/>
    </row>
    <row r="932" ht="15.75" customHeight="1"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C932" s="9"/>
      <c r="AE932" s="3"/>
      <c r="AF932" s="3"/>
      <c r="AG932" s="3"/>
      <c r="AH932" s="3"/>
      <c r="AI932" s="3"/>
      <c r="AP932" s="9"/>
    </row>
    <row r="933" ht="15.75" customHeight="1"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C933" s="9"/>
      <c r="AE933" s="3"/>
      <c r="AF933" s="3"/>
      <c r="AG933" s="3"/>
      <c r="AH933" s="3"/>
      <c r="AI933" s="3"/>
      <c r="AP933" s="9"/>
    </row>
    <row r="934" ht="15.75" customHeight="1"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C934" s="9"/>
      <c r="AE934" s="3"/>
      <c r="AF934" s="3"/>
      <c r="AG934" s="3"/>
      <c r="AH934" s="3"/>
      <c r="AI934" s="3"/>
      <c r="AP934" s="9"/>
    </row>
    <row r="935" ht="15.75" customHeight="1"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C935" s="9"/>
      <c r="AE935" s="3"/>
      <c r="AF935" s="3"/>
      <c r="AG935" s="3"/>
      <c r="AH935" s="3"/>
      <c r="AI935" s="3"/>
      <c r="AP935" s="9"/>
    </row>
    <row r="936" ht="15.75" customHeight="1"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C936" s="9"/>
      <c r="AE936" s="3"/>
      <c r="AF936" s="3"/>
      <c r="AG936" s="3"/>
      <c r="AH936" s="3"/>
      <c r="AI936" s="3"/>
      <c r="AP936" s="9"/>
    </row>
    <row r="937" ht="15.75" customHeight="1"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C937" s="9"/>
      <c r="AE937" s="3"/>
      <c r="AF937" s="3"/>
      <c r="AG937" s="3"/>
      <c r="AH937" s="3"/>
      <c r="AI937" s="3"/>
      <c r="AP937" s="9"/>
    </row>
    <row r="938" ht="15.75" customHeight="1"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C938" s="9"/>
      <c r="AE938" s="3"/>
      <c r="AF938" s="3"/>
      <c r="AG938" s="3"/>
      <c r="AH938" s="3"/>
      <c r="AI938" s="3"/>
      <c r="AP938" s="9"/>
    </row>
    <row r="939" ht="15.75" customHeight="1"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C939" s="9"/>
      <c r="AE939" s="3"/>
      <c r="AF939" s="3"/>
      <c r="AG939" s="3"/>
      <c r="AH939" s="3"/>
      <c r="AI939" s="3"/>
      <c r="AP939" s="9"/>
    </row>
    <row r="940" ht="15.75" customHeight="1"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C940" s="9"/>
      <c r="AE940" s="3"/>
      <c r="AF940" s="3"/>
      <c r="AG940" s="3"/>
      <c r="AH940" s="3"/>
      <c r="AI940" s="3"/>
      <c r="AP940" s="9"/>
    </row>
    <row r="941" ht="15.75" customHeight="1"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C941" s="9"/>
      <c r="AE941" s="3"/>
      <c r="AF941" s="3"/>
      <c r="AG941" s="3"/>
      <c r="AH941" s="3"/>
      <c r="AI941" s="3"/>
      <c r="AP941" s="9"/>
    </row>
    <row r="942" ht="15.75" customHeight="1"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C942" s="9"/>
      <c r="AE942" s="3"/>
      <c r="AF942" s="3"/>
      <c r="AG942" s="3"/>
      <c r="AH942" s="3"/>
      <c r="AI942" s="3"/>
      <c r="AP942" s="9"/>
    </row>
    <row r="943" ht="15.75" customHeight="1"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C943" s="9"/>
      <c r="AE943" s="3"/>
      <c r="AF943" s="3"/>
      <c r="AG943" s="3"/>
      <c r="AH943" s="3"/>
      <c r="AI943" s="3"/>
      <c r="AP943" s="9"/>
    </row>
    <row r="944" ht="15.75" customHeight="1"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C944" s="9"/>
      <c r="AE944" s="3"/>
      <c r="AF944" s="3"/>
      <c r="AG944" s="3"/>
      <c r="AH944" s="3"/>
      <c r="AI944" s="3"/>
      <c r="AP944" s="9"/>
    </row>
    <row r="945" ht="15.75" customHeight="1"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C945" s="9"/>
      <c r="AE945" s="3"/>
      <c r="AF945" s="3"/>
      <c r="AG945" s="3"/>
      <c r="AH945" s="3"/>
      <c r="AI945" s="3"/>
      <c r="AP945" s="9"/>
    </row>
    <row r="946" ht="15.75" customHeight="1"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C946" s="9"/>
      <c r="AE946" s="3"/>
      <c r="AF946" s="3"/>
      <c r="AG946" s="3"/>
      <c r="AH946" s="3"/>
      <c r="AI946" s="3"/>
      <c r="AP946" s="9"/>
    </row>
    <row r="947" ht="15.75" customHeight="1"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C947" s="9"/>
      <c r="AE947" s="3"/>
      <c r="AF947" s="3"/>
      <c r="AG947" s="3"/>
      <c r="AH947" s="3"/>
      <c r="AI947" s="3"/>
      <c r="AP947" s="9"/>
    </row>
    <row r="948" ht="15.75" customHeight="1"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C948" s="9"/>
      <c r="AE948" s="3"/>
      <c r="AF948" s="3"/>
      <c r="AG948" s="3"/>
      <c r="AH948" s="3"/>
      <c r="AI948" s="3"/>
      <c r="AP948" s="9"/>
    </row>
    <row r="949" ht="15.75" customHeight="1"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C949" s="9"/>
      <c r="AE949" s="3"/>
      <c r="AF949" s="3"/>
      <c r="AG949" s="3"/>
      <c r="AH949" s="3"/>
      <c r="AI949" s="3"/>
      <c r="AP949" s="9"/>
    </row>
    <row r="950" ht="15.75" customHeight="1"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C950" s="9"/>
      <c r="AE950" s="3"/>
      <c r="AF950" s="3"/>
      <c r="AG950" s="3"/>
      <c r="AH950" s="3"/>
      <c r="AI950" s="3"/>
      <c r="AP950" s="9"/>
    </row>
    <row r="951" ht="15.75" customHeight="1"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C951" s="9"/>
      <c r="AE951" s="3"/>
      <c r="AF951" s="3"/>
      <c r="AG951" s="3"/>
      <c r="AH951" s="3"/>
      <c r="AI951" s="3"/>
      <c r="AP951" s="9"/>
    </row>
    <row r="952" ht="15.75" customHeight="1"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C952" s="9"/>
      <c r="AE952" s="3"/>
      <c r="AF952" s="3"/>
      <c r="AG952" s="3"/>
      <c r="AH952" s="3"/>
      <c r="AI952" s="3"/>
      <c r="AP952" s="9"/>
    </row>
    <row r="953" ht="15.75" customHeight="1"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C953" s="9"/>
      <c r="AE953" s="3"/>
      <c r="AF953" s="3"/>
      <c r="AG953" s="3"/>
      <c r="AH953" s="3"/>
      <c r="AI953" s="3"/>
      <c r="AP953" s="9"/>
    </row>
    <row r="954" ht="15.75" customHeight="1"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C954" s="9"/>
      <c r="AE954" s="3"/>
      <c r="AF954" s="3"/>
      <c r="AG954" s="3"/>
      <c r="AH954" s="3"/>
      <c r="AI954" s="3"/>
      <c r="AP954" s="9"/>
    </row>
    <row r="955" ht="15.75" customHeight="1"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C955" s="9"/>
      <c r="AE955" s="3"/>
      <c r="AF955" s="3"/>
      <c r="AG955" s="3"/>
      <c r="AH955" s="3"/>
      <c r="AI955" s="3"/>
      <c r="AP955" s="9"/>
    </row>
    <row r="956" ht="15.75" customHeight="1"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C956" s="9"/>
      <c r="AE956" s="3"/>
      <c r="AF956" s="3"/>
      <c r="AG956" s="3"/>
      <c r="AH956" s="3"/>
      <c r="AI956" s="3"/>
      <c r="AP956" s="9"/>
    </row>
    <row r="957" ht="15.75" customHeight="1"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C957" s="9"/>
      <c r="AE957" s="3"/>
      <c r="AF957" s="3"/>
      <c r="AG957" s="3"/>
      <c r="AH957" s="3"/>
      <c r="AI957" s="3"/>
      <c r="AP957" s="9"/>
    </row>
    <row r="958" ht="15.75" customHeight="1"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C958" s="9"/>
      <c r="AE958" s="3"/>
      <c r="AF958" s="3"/>
      <c r="AG958" s="3"/>
      <c r="AH958" s="3"/>
      <c r="AI958" s="3"/>
      <c r="AP958" s="9"/>
    </row>
    <row r="959" ht="15.75" customHeight="1"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C959" s="9"/>
      <c r="AE959" s="3"/>
      <c r="AF959" s="3"/>
      <c r="AG959" s="3"/>
      <c r="AH959" s="3"/>
      <c r="AI959" s="3"/>
      <c r="AP959" s="9"/>
    </row>
    <row r="960" ht="15.75" customHeight="1"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C960" s="9"/>
      <c r="AE960" s="3"/>
      <c r="AF960" s="3"/>
      <c r="AG960" s="3"/>
      <c r="AH960" s="3"/>
      <c r="AI960" s="3"/>
      <c r="AP960" s="9"/>
    </row>
    <row r="961" ht="15.75" customHeight="1"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C961" s="9"/>
      <c r="AE961" s="3"/>
      <c r="AF961" s="3"/>
      <c r="AG961" s="3"/>
      <c r="AH961" s="3"/>
      <c r="AI961" s="3"/>
      <c r="AP961" s="9"/>
    </row>
    <row r="962" ht="15.75" customHeight="1"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C962" s="9"/>
      <c r="AE962" s="3"/>
      <c r="AF962" s="3"/>
      <c r="AG962" s="3"/>
      <c r="AH962" s="3"/>
      <c r="AI962" s="3"/>
      <c r="AP962" s="9"/>
    </row>
    <row r="963" ht="15.75" customHeight="1"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C963" s="9"/>
      <c r="AE963" s="3"/>
      <c r="AF963" s="3"/>
      <c r="AG963" s="3"/>
      <c r="AH963" s="3"/>
      <c r="AI963" s="3"/>
      <c r="AP963" s="9"/>
    </row>
    <row r="964" ht="15.75" customHeight="1"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C964" s="9"/>
      <c r="AE964" s="3"/>
      <c r="AF964" s="3"/>
      <c r="AG964" s="3"/>
      <c r="AH964" s="3"/>
      <c r="AI964" s="3"/>
      <c r="AP964" s="9"/>
    </row>
    <row r="965" ht="15.75" customHeight="1"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C965" s="9"/>
      <c r="AE965" s="3"/>
      <c r="AF965" s="3"/>
      <c r="AG965" s="3"/>
      <c r="AH965" s="3"/>
      <c r="AI965" s="3"/>
      <c r="AP965" s="9"/>
    </row>
    <row r="966" ht="15.75" customHeight="1"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C966" s="9"/>
      <c r="AE966" s="3"/>
      <c r="AF966" s="3"/>
      <c r="AG966" s="3"/>
      <c r="AH966" s="3"/>
      <c r="AI966" s="3"/>
      <c r="AP966" s="9"/>
    </row>
    <row r="967" ht="15.75" customHeight="1"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C967" s="9"/>
      <c r="AE967" s="3"/>
      <c r="AF967" s="3"/>
      <c r="AG967" s="3"/>
      <c r="AH967" s="3"/>
      <c r="AI967" s="3"/>
      <c r="AP967" s="9"/>
    </row>
    <row r="968" ht="15.75" customHeight="1"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C968" s="9"/>
      <c r="AE968" s="3"/>
      <c r="AF968" s="3"/>
      <c r="AG968" s="3"/>
      <c r="AH968" s="3"/>
      <c r="AI968" s="3"/>
      <c r="AP968" s="9"/>
    </row>
    <row r="969" ht="15.75" customHeight="1"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C969" s="9"/>
      <c r="AE969" s="3"/>
      <c r="AF969" s="3"/>
      <c r="AG969" s="3"/>
      <c r="AH969" s="3"/>
      <c r="AI969" s="3"/>
      <c r="AP969" s="9"/>
    </row>
    <row r="970" ht="15.75" customHeight="1"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C970" s="9"/>
      <c r="AE970" s="3"/>
      <c r="AF970" s="3"/>
      <c r="AG970" s="3"/>
      <c r="AH970" s="3"/>
      <c r="AI970" s="3"/>
      <c r="AP970" s="9"/>
    </row>
    <row r="971" ht="15.75" customHeight="1"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C971" s="9"/>
      <c r="AE971" s="3"/>
      <c r="AF971" s="3"/>
      <c r="AG971" s="3"/>
      <c r="AH971" s="3"/>
      <c r="AI971" s="3"/>
      <c r="AP971" s="9"/>
    </row>
    <row r="972" ht="15.75" customHeight="1"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C972" s="9"/>
      <c r="AE972" s="3"/>
      <c r="AF972" s="3"/>
      <c r="AG972" s="3"/>
      <c r="AH972" s="3"/>
      <c r="AI972" s="3"/>
      <c r="AP972" s="9"/>
    </row>
    <row r="973" ht="15.75" customHeight="1"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C973" s="9"/>
      <c r="AE973" s="3"/>
      <c r="AF973" s="3"/>
      <c r="AG973" s="3"/>
      <c r="AH973" s="3"/>
      <c r="AI973" s="3"/>
      <c r="AP973" s="9"/>
    </row>
    <row r="974" ht="15.75" customHeight="1"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C974" s="9"/>
      <c r="AE974" s="3"/>
      <c r="AF974" s="3"/>
      <c r="AG974" s="3"/>
      <c r="AH974" s="3"/>
      <c r="AI974" s="3"/>
      <c r="AP974" s="9"/>
    </row>
    <row r="975" ht="15.75" customHeight="1"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C975" s="9"/>
      <c r="AE975" s="3"/>
      <c r="AF975" s="3"/>
      <c r="AG975" s="3"/>
      <c r="AH975" s="3"/>
      <c r="AI975" s="3"/>
      <c r="AP975" s="9"/>
    </row>
    <row r="976" ht="15.75" customHeight="1"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C976" s="9"/>
      <c r="AE976" s="3"/>
      <c r="AF976" s="3"/>
      <c r="AG976" s="3"/>
      <c r="AH976" s="3"/>
      <c r="AI976" s="3"/>
      <c r="AP976" s="9"/>
    </row>
    <row r="977" ht="15.75" customHeight="1"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C977" s="9"/>
      <c r="AE977" s="3"/>
      <c r="AF977" s="3"/>
      <c r="AG977" s="3"/>
      <c r="AH977" s="3"/>
      <c r="AI977" s="3"/>
      <c r="AP977" s="9"/>
    </row>
    <row r="978" ht="15.75" customHeight="1"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C978" s="9"/>
      <c r="AE978" s="3"/>
      <c r="AF978" s="3"/>
      <c r="AG978" s="3"/>
      <c r="AH978" s="3"/>
      <c r="AI978" s="3"/>
      <c r="AP978" s="9"/>
    </row>
    <row r="979" ht="15.75" customHeight="1"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C979" s="9"/>
      <c r="AE979" s="3"/>
      <c r="AF979" s="3"/>
      <c r="AG979" s="3"/>
      <c r="AH979" s="3"/>
      <c r="AI979" s="3"/>
      <c r="AP979" s="9"/>
    </row>
    <row r="980" ht="15.75" customHeight="1"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C980" s="9"/>
      <c r="AE980" s="3"/>
      <c r="AF980" s="3"/>
      <c r="AG980" s="3"/>
      <c r="AH980" s="3"/>
      <c r="AI980" s="3"/>
      <c r="AP980" s="9"/>
    </row>
    <row r="981" ht="15.75" customHeight="1"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C981" s="9"/>
      <c r="AE981" s="3"/>
      <c r="AF981" s="3"/>
      <c r="AG981" s="3"/>
      <c r="AH981" s="3"/>
      <c r="AI981" s="3"/>
      <c r="AP981" s="9"/>
    </row>
    <row r="982" ht="15.75" customHeight="1"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C982" s="9"/>
      <c r="AE982" s="3"/>
      <c r="AF982" s="3"/>
      <c r="AG982" s="3"/>
      <c r="AH982" s="3"/>
      <c r="AI982" s="3"/>
      <c r="AP982" s="9"/>
    </row>
    <row r="983" ht="15.75" customHeight="1"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C983" s="9"/>
      <c r="AE983" s="3"/>
      <c r="AF983" s="3"/>
      <c r="AG983" s="3"/>
      <c r="AH983" s="3"/>
      <c r="AI983" s="3"/>
      <c r="AP983" s="9"/>
    </row>
    <row r="984" ht="15.75" customHeight="1"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C984" s="9"/>
      <c r="AE984" s="3"/>
      <c r="AF984" s="3"/>
      <c r="AG984" s="3"/>
      <c r="AH984" s="3"/>
      <c r="AI984" s="3"/>
      <c r="AP984" s="9"/>
    </row>
    <row r="985" ht="15.75" customHeight="1"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C985" s="9"/>
      <c r="AE985" s="3"/>
      <c r="AF985" s="3"/>
      <c r="AG985" s="3"/>
      <c r="AH985" s="3"/>
      <c r="AI985" s="3"/>
      <c r="AP985" s="9"/>
    </row>
    <row r="986" ht="15.75" customHeight="1"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C986" s="9"/>
      <c r="AE986" s="3"/>
      <c r="AF986" s="3"/>
      <c r="AG986" s="3"/>
      <c r="AH986" s="3"/>
      <c r="AI986" s="3"/>
      <c r="AP986" s="9"/>
    </row>
    <row r="987" ht="15.75" customHeight="1"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C987" s="9"/>
      <c r="AE987" s="3"/>
      <c r="AF987" s="3"/>
      <c r="AG987" s="3"/>
      <c r="AH987" s="3"/>
      <c r="AI987" s="3"/>
      <c r="AP987" s="9"/>
    </row>
    <row r="988" ht="15.75" customHeight="1"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C988" s="9"/>
      <c r="AE988" s="3"/>
      <c r="AF988" s="3"/>
      <c r="AG988" s="3"/>
      <c r="AH988" s="3"/>
      <c r="AI988" s="3"/>
      <c r="AP988" s="9"/>
    </row>
    <row r="989" ht="15.75" customHeight="1"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C989" s="9"/>
      <c r="AE989" s="3"/>
      <c r="AF989" s="3"/>
      <c r="AG989" s="3"/>
      <c r="AH989" s="3"/>
      <c r="AI989" s="3"/>
      <c r="AP989" s="9"/>
    </row>
    <row r="990" ht="15.75" customHeight="1"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C990" s="9"/>
      <c r="AE990" s="3"/>
      <c r="AF990" s="3"/>
      <c r="AG990" s="3"/>
      <c r="AH990" s="3"/>
      <c r="AI990" s="3"/>
      <c r="AP990" s="9"/>
    </row>
    <row r="991" ht="15.75" customHeight="1"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C991" s="9"/>
      <c r="AE991" s="3"/>
      <c r="AF991" s="3"/>
      <c r="AG991" s="3"/>
      <c r="AH991" s="3"/>
      <c r="AI991" s="3"/>
      <c r="AP991" s="9"/>
    </row>
    <row r="992" ht="15.75" customHeight="1"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C992" s="9"/>
      <c r="AE992" s="3"/>
      <c r="AF992" s="3"/>
      <c r="AG992" s="3"/>
      <c r="AH992" s="3"/>
      <c r="AI992" s="3"/>
      <c r="AP992" s="9"/>
    </row>
    <row r="993" ht="15.75" customHeight="1"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C993" s="9"/>
      <c r="AE993" s="3"/>
      <c r="AF993" s="3"/>
      <c r="AG993" s="3"/>
      <c r="AH993" s="3"/>
      <c r="AI993" s="3"/>
      <c r="AP993" s="9"/>
    </row>
    <row r="994" ht="15.75" customHeight="1"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C994" s="9"/>
      <c r="AE994" s="3"/>
      <c r="AF994" s="3"/>
      <c r="AG994" s="3"/>
      <c r="AH994" s="3"/>
      <c r="AI994" s="3"/>
      <c r="AP994" s="9"/>
    </row>
    <row r="995" ht="15.75" customHeight="1"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C995" s="9"/>
      <c r="AE995" s="3"/>
      <c r="AF995" s="3"/>
      <c r="AG995" s="3"/>
      <c r="AH995" s="3"/>
      <c r="AI995" s="3"/>
      <c r="AP995" s="9"/>
    </row>
    <row r="996" ht="15.75" customHeight="1"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C996" s="9"/>
      <c r="AE996" s="3"/>
      <c r="AF996" s="3"/>
      <c r="AG996" s="3"/>
      <c r="AH996" s="3"/>
      <c r="AI996" s="3"/>
      <c r="AP996" s="9"/>
    </row>
    <row r="997" ht="15.75" customHeight="1"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C997" s="9"/>
      <c r="AE997" s="3"/>
      <c r="AF997" s="3"/>
      <c r="AG997" s="3"/>
      <c r="AH997" s="3"/>
      <c r="AI997" s="3"/>
      <c r="AP997" s="9"/>
    </row>
    <row r="998" ht="15.75" customHeight="1"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C998" s="9"/>
      <c r="AE998" s="3"/>
      <c r="AF998" s="3"/>
      <c r="AG998" s="3"/>
      <c r="AH998" s="3"/>
      <c r="AI998" s="3"/>
      <c r="AP998" s="9"/>
    </row>
    <row r="999" ht="15.75" customHeight="1"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C999" s="9"/>
      <c r="AE999" s="3"/>
      <c r="AF999" s="3"/>
      <c r="AG999" s="3"/>
      <c r="AH999" s="3"/>
      <c r="AI999" s="3"/>
      <c r="AP999" s="9"/>
    </row>
    <row r="1000" ht="15.75" customHeight="1"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C1000" s="9"/>
      <c r="AE1000" s="3"/>
      <c r="AF1000" s="3"/>
      <c r="AG1000" s="3"/>
      <c r="AH1000" s="3"/>
      <c r="AI1000" s="3"/>
      <c r="AP1000" s="9"/>
    </row>
  </sheetData>
  <mergeCells count="28">
    <mergeCell ref="G1:P1"/>
    <mergeCell ref="R1:AC1"/>
    <mergeCell ref="G2:H2"/>
    <mergeCell ref="I2:J2"/>
    <mergeCell ref="K2:L2"/>
    <mergeCell ref="M2:N2"/>
    <mergeCell ref="O2:P2"/>
    <mergeCell ref="AF9:AF13"/>
    <mergeCell ref="AG9:AG13"/>
    <mergeCell ref="AE14:AE18"/>
    <mergeCell ref="AF14:AF18"/>
    <mergeCell ref="AG14:AG18"/>
    <mergeCell ref="AE19:AE23"/>
    <mergeCell ref="AF19:AF23"/>
    <mergeCell ref="AG19:AG23"/>
    <mergeCell ref="AH9:AH13"/>
    <mergeCell ref="AI9:AI13"/>
    <mergeCell ref="AH14:AH18"/>
    <mergeCell ref="AI14:AI18"/>
    <mergeCell ref="AH19:AH23"/>
    <mergeCell ref="AI19:AI23"/>
    <mergeCell ref="AE1:AP1"/>
    <mergeCell ref="AE4:AE8"/>
    <mergeCell ref="AF4:AF8"/>
    <mergeCell ref="AG4:AG8"/>
    <mergeCell ref="AH4:AH8"/>
    <mergeCell ref="AI4:AI8"/>
    <mergeCell ref="AE9:AE13"/>
  </mergeCells>
  <conditionalFormatting sqref="G4:P1000">
    <cfRule type="expression" dxfId="0" priority="1">
      <formula>G4="Absent"</formula>
    </cfRule>
  </conditionalFormatting>
  <conditionalFormatting sqref="AR4:AR1000">
    <cfRule type="expression" dxfId="1" priority="2" stopIfTrue="1">
      <formula>$AR4="Oui"</formula>
    </cfRule>
  </conditionalFormatting>
  <conditionalFormatting sqref="AR4:AR1000">
    <cfRule type="expression" dxfId="0" priority="3" stopIfTrue="1">
      <formula>$AR4="Non"</formula>
    </cfRule>
  </conditionalFormatting>
  <conditionalFormatting sqref="AS4:AS1000">
    <cfRule type="expression" dxfId="1" priority="4" stopIfTrue="1">
      <formula>$AS4="Non"</formula>
    </cfRule>
  </conditionalFormatting>
  <conditionalFormatting sqref="AS4:AS1000">
    <cfRule type="expression" dxfId="0" priority="5" stopIfTrue="1">
      <formula>$AS4="Oui"</formula>
    </cfRule>
  </conditionalFormatting>
  <dataValidations>
    <dataValidation type="list" allowBlank="1" showErrorMessage="1" sqref="AR4:AS23">
      <formula1>Datas!$G$3:$G$4</formula1>
    </dataValidation>
    <dataValidation type="list" allowBlank="1" showErrorMessage="1" sqref="AE4:AI4 R4:V7 AE9:AI9 R9:V12 AE14:AI14 R14:V17 AE19:AI19 R19:V22">
      <formula1>Datas!$A$3:$A$6</formula1>
    </dataValidation>
    <dataValidation type="list" allowBlank="1" showErrorMessage="1" sqref="G4:P23">
      <formula1>Datas!$E$3:$E$5</formula1>
    </dataValidation>
  </dataValidations>
  <hyperlinks>
    <hyperlink r:id="rId2" ref="D4"/>
    <hyperlink r:id="rId3" ref="D5"/>
  </hyperlinks>
  <printOptions/>
  <pageMargins bottom="0.75" footer="0.0" header="0.0" left="0.7" right="0.7" top="0.75"/>
  <pageSetup orientation="landscape"/>
  <drawing r:id="rId4"/>
  <legacyDrawing r:id="rId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2026-06-22T13:09:32Z</dcterms:created>
  <dc:creator>BAEZA Yvan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0x010100D13F0084B24AA74087E0D5FB9F267B1F</vt:lpwstr>
  </property>
  <property fmtid="{D5CDD505-2E9C-101B-9397-08002B2CF9AE}" pid="3" name="MediaServiceImageTags">
    <vt:lpwstr/>
  </property>
  <property fmtid="{D5CDD505-2E9C-101B-9397-08002B2CF9AE}" pid="4" name="Order">
    <vt:r8>141800.0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